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ypar\Desktop\Document\Jelly Box Doc\"/>
    </mc:Choice>
  </mc:AlternateContent>
  <xr:revisionPtr revIDLastSave="0" documentId="13_ncr:1_{CEA372C6-BC84-4DC8-A06F-2D46F1A6121C}" xr6:coauthVersionLast="47" xr6:coauthVersionMax="47" xr10:uidLastSave="{00000000-0000-0000-0000-000000000000}"/>
  <bookViews>
    <workbookView xWindow="16457" yWindow="7149" windowWidth="18514" windowHeight="16157" xr2:uid="{00000000-000D-0000-FFFF-FFFF00000000}"/>
  </bookViews>
  <sheets>
    <sheet name="Daily Tasks" sheetId="1" r:id="rId1"/>
    <sheet name="Feature Tracker" sheetId="2" r:id="rId2"/>
    <sheet name="Weekly Mileston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0" i="2" l="1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K289" i="1"/>
  <c r="K285" i="1"/>
  <c r="K282" i="1"/>
  <c r="K279" i="1"/>
  <c r="K276" i="1"/>
  <c r="K273" i="1"/>
  <c r="K270" i="1"/>
  <c r="K267" i="1"/>
  <c r="K264" i="1"/>
  <c r="K261" i="1"/>
  <c r="K258" i="1"/>
  <c r="K256" i="1"/>
  <c r="K253" i="1"/>
  <c r="K250" i="1"/>
  <c r="K247" i="1"/>
  <c r="K244" i="1"/>
  <c r="K241" i="1"/>
  <c r="K238" i="1"/>
  <c r="K236" i="1"/>
  <c r="K233" i="1"/>
  <c r="K230" i="1"/>
  <c r="K227" i="1"/>
  <c r="K224" i="1"/>
  <c r="K221" i="1"/>
  <c r="K218" i="1"/>
  <c r="K215" i="1"/>
  <c r="K212" i="1"/>
  <c r="K209" i="1"/>
  <c r="K206" i="1"/>
  <c r="K203" i="1"/>
  <c r="K200" i="1"/>
  <c r="K197" i="1"/>
  <c r="K194" i="1"/>
  <c r="K191" i="1"/>
  <c r="K188" i="1"/>
  <c r="K185" i="1"/>
  <c r="K182" i="1"/>
  <c r="K179" i="1"/>
  <c r="K176" i="1"/>
  <c r="K173" i="1"/>
  <c r="K170" i="1"/>
  <c r="K167" i="1"/>
  <c r="K164" i="1"/>
  <c r="K161" i="1"/>
  <c r="K158" i="1"/>
  <c r="K155" i="1"/>
  <c r="K152" i="1"/>
  <c r="K149" i="1"/>
  <c r="K146" i="1"/>
  <c r="K143" i="1"/>
  <c r="K140" i="1"/>
  <c r="K137" i="1"/>
  <c r="K134" i="1"/>
  <c r="K131" i="1"/>
  <c r="K128" i="1"/>
  <c r="K125" i="1"/>
  <c r="K122" i="1"/>
  <c r="K119" i="1"/>
  <c r="K116" i="1"/>
  <c r="K113" i="1"/>
  <c r="K111" i="1"/>
  <c r="K108" i="1"/>
  <c r="K103" i="1"/>
  <c r="K98" i="1"/>
  <c r="K93" i="1"/>
  <c r="K88" i="1"/>
  <c r="K83" i="1"/>
  <c r="K78" i="1"/>
  <c r="K75" i="1"/>
  <c r="K72" i="1"/>
  <c r="K69" i="1"/>
  <c r="K66" i="1"/>
  <c r="K63" i="1"/>
  <c r="K60" i="1"/>
  <c r="K57" i="1"/>
  <c r="K54" i="1"/>
  <c r="K51" i="1"/>
  <c r="K48" i="1"/>
  <c r="K45" i="1"/>
  <c r="K42" i="1"/>
  <c r="K39" i="1"/>
  <c r="K36" i="1"/>
  <c r="K33" i="1"/>
  <c r="K30" i="1"/>
  <c r="K26" i="1"/>
  <c r="K23" i="1"/>
  <c r="K20" i="1"/>
  <c r="K17" i="1"/>
  <c r="K14" i="1"/>
  <c r="K10" i="1"/>
  <c r="K7" i="1"/>
  <c r="N6" i="1"/>
  <c r="N5" i="1"/>
  <c r="N4" i="1"/>
  <c r="N3" i="1"/>
  <c r="M2" i="1"/>
  <c r="K2" i="1"/>
</calcChain>
</file>

<file path=xl/sharedStrings.xml><?xml version="1.0" encoding="utf-8"?>
<sst xmlns="http://schemas.openxmlformats.org/spreadsheetml/2006/main" count="1474" uniqueCount="701">
  <si>
    <t>Day</t>
  </si>
  <si>
    <t>Date</t>
  </si>
  <si>
    <t>Category</t>
  </si>
  <si>
    <t>Feature</t>
  </si>
  <si>
    <t>Sub-Task</t>
  </si>
  <si>
    <t>Progress</t>
  </si>
  <si>
    <t>Est(h)</t>
  </si>
  <si>
    <t>Act(h)</t>
  </si>
  <si>
    <t>Blocker</t>
  </si>
  <si>
    <t>Notes</t>
  </si>
  <si>
    <t>일일 진행률</t>
  </si>
  <si>
    <t>📊 전체 진행률</t>
  </si>
  <si>
    <t>2024-11-24</t>
  </si>
  <si>
    <t>프로젝트 초기 설정</t>
  </si>
  <si>
    <t>프로젝트 셋업</t>
  </si>
  <si>
    <t>Unity 프로젝트 생성</t>
  </si>
  <si>
    <t>완료</t>
  </si>
  <si>
    <t>버전 관리 설정 (Git)</t>
  </si>
  <si>
    <t>Input System</t>
  </si>
  <si>
    <t>Input System 패키지 설치</t>
  </si>
  <si>
    <t>완료율</t>
  </si>
  <si>
    <t>액션 맵 구성</t>
  </si>
  <si>
    <t>진행중</t>
  </si>
  <si>
    <t>3인칭 이동·점프</t>
  </si>
  <si>
    <t>캐릭터 컨트롤러 기본 설정</t>
  </si>
  <si>
    <t>대기</t>
  </si>
  <si>
    <t>2024-11-25</t>
  </si>
  <si>
    <t>이동 및 점프 메커니즘 구현</t>
  </si>
  <si>
    <t>경과일</t>
  </si>
  <si>
    <t>Day 25 / 92</t>
  </si>
  <si>
    <t>물리 조정 및 테스트</t>
  </si>
  <si>
    <t>목표일</t>
  </si>
  <si>
    <t>2025-02-24</t>
  </si>
  <si>
    <t>파라미터 튜닝</t>
  </si>
  <si>
    <t>2024-11-26</t>
  </si>
  <si>
    <t>테스트 환경 구축</t>
  </si>
  <si>
    <t>테스트 맵</t>
  </si>
  <si>
    <t>ProBuilder 설치 및 학습</t>
  </si>
  <si>
    <t>기본 플랫폼 블록아웃</t>
  </si>
  <si>
    <t>테스트용 장애물 배치</t>
  </si>
  <si>
    <t>이동/점프 테스트</t>
  </si>
  <si>
    <t>2024-11-27</t>
  </si>
  <si>
    <t>테스트 맵 개선 및 확장</t>
  </si>
  <si>
    <t>콜라이더 및 물리 설정</t>
  </si>
  <si>
    <t>최종 테스트</t>
  </si>
  <si>
    <t>2024-11-28</t>
  </si>
  <si>
    <t>3D 모델링 기초</t>
  </si>
  <si>
    <t>Blender 학습</t>
  </si>
  <si>
    <t>Blender 인터페이스 익히기</t>
  </si>
  <si>
    <t>기본 단축키 연습</t>
  </si>
  <si>
    <t>모델링 기초 튜토리얼</t>
  </si>
  <si>
    <t>2024-11-29</t>
  </si>
  <si>
    <t>기본 모델 제작</t>
  </si>
  <si>
    <t>큐브/구 기본 형태 모델링</t>
  </si>
  <si>
    <t>블록 장난감 프로토타입</t>
  </si>
  <si>
    <t>머티리얼 기초 적용</t>
  </si>
  <si>
    <t>2024-11-30</t>
  </si>
  <si>
    <t>Unity 임포트</t>
  </si>
  <si>
    <t>FBX 익스포트 설정</t>
  </si>
  <si>
    <t>Unity 임포트 테스트</t>
  </si>
  <si>
    <t>머티리얼 파이프라인 구축</t>
  </si>
  <si>
    <t>2024-12-01</t>
  </si>
  <si>
    <t>카메라 시스템</t>
  </si>
  <si>
    <t>Cinemachine</t>
  </si>
  <si>
    <t>Cinemachine 패키지 설치</t>
  </si>
  <si>
    <t>Virtual Camera 설정</t>
  </si>
  <si>
    <t>카메라 추적 구현</t>
  </si>
  <si>
    <t>카메라 회전 및 줌</t>
  </si>
  <si>
    <t>2024-12-02</t>
  </si>
  <si>
    <t>3인칭 카메라</t>
  </si>
  <si>
    <t>카메라 거리 조정</t>
  </si>
  <si>
    <t>카메라 각도 설정</t>
  </si>
  <si>
    <t>카메라 충돌 처리</t>
  </si>
  <si>
    <t>2024-12-03</t>
  </si>
  <si>
    <t>통합 테스트</t>
  </si>
  <si>
    <t>전체 구조 점검</t>
  </si>
  <si>
    <t>이동/점프/카메라 통합 테스트</t>
  </si>
  <si>
    <t>입력 시스템 검증</t>
  </si>
  <si>
    <t>물리 동작 확인</t>
  </si>
  <si>
    <t>2024-12-04</t>
  </si>
  <si>
    <t>버그 수정</t>
  </si>
  <si>
    <t>발견된 버그 목록 작성</t>
  </si>
  <si>
    <t>크리티컬 버그 수정</t>
  </si>
  <si>
    <t>코드 리팩토링</t>
  </si>
  <si>
    <t>2024-12-05</t>
  </si>
  <si>
    <t>Stick 시스템</t>
  </si>
  <si>
    <t>Raycast 구현</t>
  </si>
  <si>
    <t>벽 감지 시스템 설계</t>
  </si>
  <si>
    <t>부착 가능 영역 판정</t>
  </si>
  <si>
    <t>2024-12-06</t>
  </si>
  <si>
    <t>유지력 시스템</t>
  </si>
  <si>
    <t>부착 상태 관리</t>
  </si>
  <si>
    <t>시간 기반 유지력 감소</t>
  </si>
  <si>
    <t>유지력 UI 프로토타입</t>
  </si>
  <si>
    <t>2024-12-07</t>
  </si>
  <si>
    <t>무게 처리</t>
  </si>
  <si>
    <t>무게 시스템 설계</t>
  </si>
  <si>
    <t>무게에 따른 유지력 감소</t>
  </si>
  <si>
    <t>무게 시각화 테스트</t>
  </si>
  <si>
    <t>2024-12-08</t>
  </si>
  <si>
    <t>젤리 바디 모델링</t>
  </si>
  <si>
    <t>몸통 제작</t>
  </si>
  <si>
    <t>기본 바디 형태 스케치</t>
  </si>
  <si>
    <t>말랑한 실루엣 모델링</t>
  </si>
  <si>
    <t>토폴로지 정리</t>
  </si>
  <si>
    <t>2024-12-09</t>
  </si>
  <si>
    <t>바디 완성</t>
  </si>
  <si>
    <t>곰 바디 모델링</t>
  </si>
  <si>
    <t>4종 완료: 곰, 고양이, 원숭이, 개구리</t>
  </si>
  <si>
    <t>고양이 바디 모델링</t>
  </si>
  <si>
    <t>원숭이 바디 모델링</t>
  </si>
  <si>
    <t>2024-12-10</t>
  </si>
  <si>
    <t>개구리 바디 모델링</t>
  </si>
  <si>
    <t>젤리 재질</t>
  </si>
  <si>
    <t>반투명 재질</t>
  </si>
  <si>
    <t>셰이더 그래프 기초 학습</t>
  </si>
  <si>
    <t>반투명 효과 적용</t>
  </si>
  <si>
    <t>2024-12-11</t>
  </si>
  <si>
    <t>파츠 모델링</t>
  </si>
  <si>
    <t>팔 제작</t>
  </si>
  <si>
    <t>파츠 소켓 시스템 설계</t>
  </si>
  <si>
    <t>팔 파츠 모델링</t>
  </si>
  <si>
    <t>관절 구조 정리</t>
  </si>
  <si>
    <t>2024-12-12</t>
  </si>
  <si>
    <t>다리 제작</t>
  </si>
  <si>
    <t>다리 파츠 모델링</t>
  </si>
  <si>
    <t>발 디테일 작업</t>
  </si>
  <si>
    <t>발 디테일 없음</t>
  </si>
  <si>
    <t>파츠 간 연결 확인</t>
  </si>
  <si>
    <t>2024-12-13</t>
  </si>
  <si>
    <t>Unity 모델 연결</t>
  </si>
  <si>
    <t>리깅</t>
  </si>
  <si>
    <t>기본 본 구조 설정</t>
  </si>
  <si>
    <t>본 웨이트 페인팅</t>
  </si>
  <si>
    <t>관절 제약 설정</t>
  </si>
  <si>
    <t>2024-12-14</t>
  </si>
  <si>
    <t>머티리얼</t>
  </si>
  <si>
    <t>Unity 머티리얼 적용</t>
  </si>
  <si>
    <t>반투명 셰이더 최적화</t>
  </si>
  <si>
    <t>전체 모델 테스트</t>
  </si>
  <si>
    <t>2024-12-15</t>
  </si>
  <si>
    <t>파츠 시스템</t>
  </si>
  <si>
    <t>파츠 분리</t>
  </si>
  <si>
    <t>파츠 On/Off 시스템 설계</t>
  </si>
  <si>
    <t>파츠 활성화/비활성화 구현</t>
  </si>
  <si>
    <t>파츠 상태 UI 연동</t>
  </si>
  <si>
    <t>2024-12-16</t>
  </si>
  <si>
    <t>충격 처리</t>
  </si>
  <si>
    <t>충격 감지 시스템</t>
  </si>
  <si>
    <t>낙하 데미지 계산</t>
  </si>
  <si>
    <t>파츠 분리 트리거</t>
  </si>
  <si>
    <t>2024-12-17</t>
  </si>
  <si>
    <t>물리 처리</t>
  </si>
  <si>
    <t>파츠 튕김 물리 구현</t>
  </si>
  <si>
    <t>각 파츠별 젤리량 관리</t>
  </si>
  <si>
    <t>분리된 파츠 드롭 처리</t>
  </si>
  <si>
    <t>2024-12-18</t>
  </si>
  <si>
    <t>인벤토리</t>
  </si>
  <si>
    <t>인벤토리 UI 레이아웃</t>
  </si>
  <si>
    <t>파츠 슬롯 구조 (ScriptableObject)</t>
  </si>
  <si>
    <t>파츠 줍기 상호작용</t>
  </si>
  <si>
    <t>파츠 장착/탈착 로직</t>
  </si>
  <si>
    <t>UI 업데이트 연동</t>
  </si>
  <si>
    <t>2024-12-19</t>
  </si>
  <si>
    <t>UI</t>
  </si>
  <si>
    <t>인벤토리 UI</t>
  </si>
  <si>
    <t>UI 캔버스 구조</t>
  </si>
  <si>
    <t>파츠 아이콘 제작</t>
  </si>
  <si>
    <t>드래그&amp;드롭 구현</t>
  </si>
  <si>
    <t>젤리량 게이지</t>
  </si>
  <si>
    <t>UI 애니메이션</t>
  </si>
  <si>
    <t>2024-12-20</t>
  </si>
  <si>
    <t>장착 로직</t>
  </si>
  <si>
    <t>파츠 소켓 시스템 설계 문서</t>
  </si>
  <si>
    <t>소켓별 제약 조건</t>
  </si>
  <si>
    <t>파츠 교체 시 능력치 변경</t>
  </si>
  <si>
    <t>아이템 무게 시스템</t>
  </si>
  <si>
    <t>2024-12-21</t>
  </si>
  <si>
    <t>모델링</t>
  </si>
  <si>
    <t>장난감 1-2종</t>
  </si>
  <si>
    <t>블록 장난감 모델링</t>
  </si>
  <si>
    <t>자동차 장난감 모델링</t>
  </si>
  <si>
    <t>UV 언랩</t>
  </si>
  <si>
    <t>Unity 임포트 및 콜라이더</t>
  </si>
  <si>
    <t>머티리얼 적용</t>
  </si>
  <si>
    <t>2024-12-22</t>
  </si>
  <si>
    <t>장난감 3-4종</t>
  </si>
  <si>
    <t>공 장난감 모델링</t>
  </si>
  <si>
    <t>인형 장난감 모델링</t>
  </si>
  <si>
    <t>로봇 부품 모델링</t>
  </si>
  <si>
    <t>텍스처 작업</t>
  </si>
  <si>
    <t>Unity 적용 및 물리</t>
  </si>
  <si>
    <t>2024-12-23</t>
  </si>
  <si>
    <t>통합</t>
  </si>
  <si>
    <t>1개월차 마일스톤</t>
  </si>
  <si>
    <t>전체 기능 통합 테스트</t>
  </si>
  <si>
    <t>마일스톤: 1인 플레이 가능</t>
  </si>
  <si>
    <t>1인 플레이 가능 확인</t>
  </si>
  <si>
    <t>다음 주차 준비</t>
  </si>
  <si>
    <t>2024-12-24</t>
  </si>
  <si>
    <t>멀티플레이</t>
  </si>
  <si>
    <t>1개월차 기능 전체 점검</t>
  </si>
  <si>
    <t>성능 측정 및 최적화</t>
  </si>
  <si>
    <t>버그 리스트 작성</t>
  </si>
  <si>
    <t>2024-12-25</t>
  </si>
  <si>
    <t>플레이 테스트</t>
  </si>
  <si>
    <t>2024-12-26</t>
  </si>
  <si>
    <t>2인 분할</t>
  </si>
  <si>
    <t>PlayerInputManager 설정</t>
  </si>
  <si>
    <t>입력 디바이스 할당</t>
  </si>
  <si>
    <t>플레이어 생성/제거</t>
  </si>
  <si>
    <t>2024-12-27</t>
  </si>
  <si>
    <t>화면 상하 분할 구현</t>
  </si>
  <si>
    <t>개별 카메라 설정</t>
  </si>
  <si>
    <t>2인 플레이 테스트</t>
  </si>
  <si>
    <t>2024-12-28</t>
  </si>
  <si>
    <t>UI 분할 화면 대응</t>
  </si>
  <si>
    <t>입력 충돌 방지</t>
  </si>
  <si>
    <t>2인 협동 테스트</t>
  </si>
  <si>
    <t>2024-12-29</t>
  </si>
  <si>
    <t>4인 분할</t>
  </si>
  <si>
    <t>화면 2x2 분할 구현</t>
  </si>
  <si>
    <t>4개 카메라 동기화</t>
  </si>
  <si>
    <t>화면 크기 최적화</t>
  </si>
  <si>
    <t>2024-12-30</t>
  </si>
  <si>
    <t>4인 입력 처리</t>
  </si>
  <si>
    <t>성능 최적화</t>
  </si>
  <si>
    <t>4인 플레이 테스트</t>
  </si>
  <si>
    <t>2024-12-31</t>
  </si>
  <si>
    <t>애니메이션</t>
  </si>
  <si>
    <t>Idle</t>
  </si>
  <si>
    <t>Idle 포즈 설정</t>
  </si>
  <si>
    <t>Idle 애니메이션 제작</t>
  </si>
  <si>
    <t>Unity 임포트 및 테스트</t>
  </si>
  <si>
    <t>2025-01-01</t>
  </si>
  <si>
    <t>Jump</t>
  </si>
  <si>
    <t>Jump 시작 포즈</t>
  </si>
  <si>
    <t>공중 포즈</t>
  </si>
  <si>
    <t>착지 포즈</t>
  </si>
  <si>
    <t>2025-01-02</t>
  </si>
  <si>
    <t>Jump 애니메이션 완성</t>
  </si>
  <si>
    <t>Unity 적용 및 블렌딩</t>
  </si>
  <si>
    <t>점프 애니메이션 테스트</t>
  </si>
  <si>
    <t>2025-01-03</t>
  </si>
  <si>
    <t>Stick Pose</t>
  </si>
  <si>
    <t>벽 붙기 포즈 설정</t>
  </si>
  <si>
    <t>늘어난 상태 애니메이션</t>
  </si>
  <si>
    <t>Unity 적용</t>
  </si>
  <si>
    <t>2025-01-04</t>
  </si>
  <si>
    <t>Walk</t>
  </si>
  <si>
    <t>Walk 사이클 제작</t>
  </si>
  <si>
    <t>속도별 블렌딩</t>
  </si>
  <si>
    <t>Unity 적용 및 테스트</t>
  </si>
  <si>
    <t>2025-01-05</t>
  </si>
  <si>
    <t>Animator</t>
  </si>
  <si>
    <t>Animator Controller 생성</t>
  </si>
  <si>
    <t>상태 전환 설정</t>
  </si>
  <si>
    <t>파라미터 설정</t>
  </si>
  <si>
    <t>2025-01-06</t>
  </si>
  <si>
    <t>애니메이션 블렌딩 최적화</t>
  </si>
  <si>
    <t>전체 애니메이션 테스트</t>
  </si>
  <si>
    <t>2025-01-07</t>
  </si>
  <si>
    <t>리팩토링</t>
  </si>
  <si>
    <t>코드 정리</t>
  </si>
  <si>
    <t>중복 코드 제거</t>
  </si>
  <si>
    <t>네이밍 통일</t>
  </si>
  <si>
    <t>주석 추가</t>
  </si>
  <si>
    <t>2025-01-08</t>
  </si>
  <si>
    <t>구조 개선</t>
  </si>
  <si>
    <t>스크립트 구조 개선</t>
  </si>
  <si>
    <t>성능 최적화 1차</t>
  </si>
  <si>
    <t>메모리 사용량 체크</t>
  </si>
  <si>
    <t>2025-01-09</t>
  </si>
  <si>
    <t>젤리량 UI</t>
  </si>
  <si>
    <t>젤리량 게이지 설계</t>
  </si>
  <si>
    <t>파츠별 게이지 구현</t>
  </si>
  <si>
    <t>실시간 업데이트 연동</t>
  </si>
  <si>
    <t>2025-01-10</t>
  </si>
  <si>
    <t>유지력 UI</t>
  </si>
  <si>
    <t>유지력 게이지 개선</t>
  </si>
  <si>
    <t>무게 표시 추가</t>
  </si>
  <si>
    <t>경고 시스템</t>
  </si>
  <si>
    <t>2025-01-11</t>
  </si>
  <si>
    <t>HUD</t>
  </si>
  <si>
    <t>HUD 레이아웃 설계</t>
  </si>
  <si>
    <t>HUD 요소 배치</t>
  </si>
  <si>
    <t>멀티플레이 HUD 대응</t>
  </si>
  <si>
    <t>2025-01-12</t>
  </si>
  <si>
    <t>메인 메뉴</t>
  </si>
  <si>
    <t>타이틀 화면 디자인</t>
  </si>
  <si>
    <t>메뉴 버튼 구현</t>
  </si>
  <si>
    <t>플레이어 초대 UI</t>
  </si>
  <si>
    <t>2025-01-13</t>
  </si>
  <si>
    <t>옵션 메뉴</t>
  </si>
  <si>
    <t>옵션 화면 레이아웃</t>
  </si>
  <si>
    <t>설정 저장/로드</t>
  </si>
  <si>
    <t>전체 UI 테스트</t>
  </si>
  <si>
    <t>2025-01-14</t>
  </si>
  <si>
    <t>아트</t>
  </si>
  <si>
    <t>Shader Graph 고급 학습</t>
  </si>
  <si>
    <t>반투명 효과 개선</t>
  </si>
  <si>
    <t>하이라이트 추가</t>
  </si>
  <si>
    <t>2025-01-15</t>
  </si>
  <si>
    <t>장난감 텍스처</t>
  </si>
  <si>
    <t>블록 텍스처 제작</t>
  </si>
  <si>
    <t>자동차 텍스처 제작</t>
  </si>
  <si>
    <t>플라스틱 질감 구현</t>
  </si>
  <si>
    <t>2025-01-16</t>
  </si>
  <si>
    <t>공/인형 텍스처</t>
  </si>
  <si>
    <t>로봇 텍스처</t>
  </si>
  <si>
    <t>Unity 적용 및 최적화</t>
  </si>
  <si>
    <t>2025-01-17</t>
  </si>
  <si>
    <t>추가 장난감</t>
  </si>
  <si>
    <t>레고 블록 모델링</t>
  </si>
  <si>
    <t>병정 인형 모델링</t>
  </si>
  <si>
    <t>2025-01-18</t>
  </si>
  <si>
    <t>기차</t>
  </si>
  <si>
    <t>기차 본체 모델링</t>
  </si>
  <si>
    <t>기차 바퀴 및 디테일</t>
  </si>
  <si>
    <t>2025-01-19</t>
  </si>
  <si>
    <t>레일/트랙</t>
  </si>
  <si>
    <t>레일 모델링</t>
  </si>
  <si>
    <t>트랙 곡선 처리</t>
  </si>
  <si>
    <t>2025-01-20</t>
  </si>
  <si>
    <t>모든 모델 Unity 적용</t>
  </si>
  <si>
    <t>머티리얼 일괄 적용</t>
  </si>
  <si>
    <t>라이팅 테스트</t>
  </si>
  <si>
    <t>2025-01-21</t>
  </si>
  <si>
    <t>배치</t>
  </si>
  <si>
    <t>장난감 배치 테스트</t>
  </si>
  <si>
    <t>환경 디테일 추가</t>
  </si>
  <si>
    <t>최종 비주얼 확인</t>
  </si>
  <si>
    <t>2025-01-22</t>
  </si>
  <si>
    <t>타이틀 오브젝트</t>
  </si>
  <si>
    <t>타이틀 로고 모델링</t>
  </si>
  <si>
    <t>메인 화면용 오브젝트</t>
  </si>
  <si>
    <t>2025-01-23</t>
  </si>
  <si>
    <t>젤리 포즈</t>
  </si>
  <si>
    <t>포즈 1: 점프 자세</t>
  </si>
  <si>
    <t>마일스톤: 멀티+아트 완성</t>
  </si>
  <si>
    <t>포즈 2: 부착 자세</t>
  </si>
  <si>
    <t>포즈 3: 협동 자세</t>
  </si>
  <si>
    <t>2025-01-24</t>
  </si>
  <si>
    <t>협동 기믹</t>
  </si>
  <si>
    <t>협동 오브젝트</t>
  </si>
  <si>
    <t>무거운 오브젝트 시스템</t>
  </si>
  <si>
    <t>2인 동시 들기 구현</t>
  </si>
  <si>
    <t>무게 분산 계산</t>
  </si>
  <si>
    <t>2025-01-25</t>
  </si>
  <si>
    <t>협동 오브젝트 테스트</t>
  </si>
  <si>
    <t>피드백 개선</t>
  </si>
  <si>
    <t>2025-01-26</t>
  </si>
  <si>
    <t>발판 기믹</t>
  </si>
  <si>
    <t>압력 감지 발판</t>
  </si>
  <si>
    <t>타이머 발판</t>
  </si>
  <si>
    <t>발판 비주얼 피드백</t>
  </si>
  <si>
    <t>2025-01-27</t>
  </si>
  <si>
    <t>레버 기믹</t>
  </si>
  <si>
    <t>레버 상호작용</t>
  </si>
  <si>
    <t>레버 연결 시스템</t>
  </si>
  <si>
    <t>레버 애니메이션</t>
  </si>
  <si>
    <t>2025-01-28</t>
  </si>
  <si>
    <t>기차 플랫폼</t>
  </si>
  <si>
    <t>기차 이동 경로</t>
  </si>
  <si>
    <t>플레이어 탑승 처리</t>
  </si>
  <si>
    <t>기차 속도 조정</t>
  </si>
  <si>
    <t>2025-01-29</t>
  </si>
  <si>
    <t>기차 애니메이션</t>
  </si>
  <si>
    <t>기차 움직임 애니메이션</t>
  </si>
  <si>
    <t>바퀴 회전</t>
  </si>
  <si>
    <t>효과음 추가</t>
  </si>
  <si>
    <t>2025-01-30</t>
  </si>
  <si>
    <t>기믹 통합 테스트</t>
  </si>
  <si>
    <t>협동 플레이 테스트</t>
  </si>
  <si>
    <t>밸런싱</t>
  </si>
  <si>
    <t>2025-01-31</t>
  </si>
  <si>
    <t>레벨 디자인</t>
  </si>
  <si>
    <t>Stage 1</t>
  </si>
  <si>
    <t>장난감 더미 블록아웃</t>
  </si>
  <si>
    <t>등반 루트 설계</t>
  </si>
  <si>
    <t>난이도 조정</t>
  </si>
  <si>
    <t>2025-02-01</t>
  </si>
  <si>
    <t>Stick 활용 구간 배치</t>
  </si>
  <si>
    <t>점프 구간 배치</t>
  </si>
  <si>
    <t>체크포인트 설정</t>
  </si>
  <si>
    <t>2025-02-02</t>
  </si>
  <si>
    <t>파츠 회수 구간</t>
  </si>
  <si>
    <t>젤리 아이템 배치</t>
  </si>
  <si>
    <t>레벨 흐름 테스트</t>
  </si>
  <si>
    <t>2025-02-03</t>
  </si>
  <si>
    <t>협동 기믹 1 배치</t>
  </si>
  <si>
    <t>협동 기믹 2 배치</t>
  </si>
  <si>
    <t>기믹 연결성 확인</t>
  </si>
  <si>
    <t>2025-02-04</t>
  </si>
  <si>
    <t>장난감 오브젝트 배치</t>
  </si>
  <si>
    <t>내부 배경 장식</t>
  </si>
  <si>
    <t>라이팅 조정</t>
  </si>
  <si>
    <t>2025-02-05</t>
  </si>
  <si>
    <t>밸런싱 조정</t>
  </si>
  <si>
    <t>2025-02-06</t>
  </si>
  <si>
    <t>최종 점검</t>
  </si>
  <si>
    <t>Stage 1 완성 확정</t>
  </si>
  <si>
    <t>2025-02-07</t>
  </si>
  <si>
    <t>Stage 2</t>
  </si>
  <si>
    <t>기차 플랫폼 블록아웃</t>
  </si>
  <si>
    <t>차 플랫폼 블록아웃</t>
  </si>
  <si>
    <t>이동 경로 설계</t>
  </si>
  <si>
    <t>2025-02-08</t>
  </si>
  <si>
    <t>차 움직임 패턴</t>
  </si>
  <si>
    <t>충돌 처리</t>
  </si>
  <si>
    <t>2025-02-09</t>
  </si>
  <si>
    <t>플랫폼 경로 최적화</t>
  </si>
  <si>
    <t>협동 요소 추가</t>
  </si>
  <si>
    <t>2025-02-10</t>
  </si>
  <si>
    <t>환경 오브젝트 배치</t>
  </si>
  <si>
    <t>장난감 배치</t>
  </si>
  <si>
    <t>디테일 추가</t>
  </si>
  <si>
    <t>2025-02-11</t>
  </si>
  <si>
    <t>라이팅 및 분위기</t>
  </si>
  <si>
    <t>비주얼 폴리싱</t>
  </si>
  <si>
    <t>2025-02-12</t>
  </si>
  <si>
    <t>2025-02-13</t>
  </si>
  <si>
    <t>마일스톤: 데모 완성</t>
  </si>
  <si>
    <t>Stage 2 완성 확정</t>
  </si>
  <si>
    <t>2025-02-14</t>
  </si>
  <si>
    <t>Stage 3</t>
  </si>
  <si>
    <t>중세 레고 블록아웃</t>
  </si>
  <si>
    <t>성 구조 설계</t>
  </si>
  <si>
    <t>던전 경로</t>
  </si>
  <si>
    <t>2025-02-15</t>
  </si>
  <si>
    <t>성문 기믹</t>
  </si>
  <si>
    <t>대포 기믹</t>
  </si>
  <si>
    <t>발사 메커니즘</t>
  </si>
  <si>
    <t>2025-02-16</t>
  </si>
  <si>
    <t>Stage 4</t>
  </si>
  <si>
    <t>로봇 테마 블록아웃</t>
  </si>
  <si>
    <t>로봇 배치</t>
  </si>
  <si>
    <t>공격 패턴 설계</t>
  </si>
  <si>
    <t>2025-02-17</t>
  </si>
  <si>
    <t>콘솔 상호작용</t>
  </si>
  <si>
    <t>로봇 활성화 시스템</t>
  </si>
  <si>
    <t>2025-02-18</t>
  </si>
  <si>
    <t>UV 재정리</t>
  </si>
  <si>
    <t>전체 모델 UV 점검</t>
  </si>
  <si>
    <t>텍스처 최적화</t>
  </si>
  <si>
    <t>아틀라스 생성</t>
  </si>
  <si>
    <t>2025-02-19</t>
  </si>
  <si>
    <t>최종 마감</t>
  </si>
  <si>
    <t>모든 재질 최종 점검</t>
  </si>
  <si>
    <t>라이팅 마무리</t>
  </si>
  <si>
    <t>후처리 효과</t>
  </si>
  <si>
    <t>2025-02-20</t>
  </si>
  <si>
    <t>전체 비주얼 퀄리티 확인</t>
  </si>
  <si>
    <t>스크린샷 촬영</t>
  </si>
  <si>
    <t>아트 최종 승인</t>
  </si>
  <si>
    <t>2025-02-21</t>
  </si>
  <si>
    <t>사운드</t>
  </si>
  <si>
    <t>효과음</t>
  </si>
  <si>
    <t>Stick/Jump/Hit SFX</t>
  </si>
  <si>
    <t>파츠 분리/튕김 SFX</t>
  </si>
  <si>
    <t>UI SFX</t>
  </si>
  <si>
    <t>2025-02-22</t>
  </si>
  <si>
    <t>폴리싱</t>
  </si>
  <si>
    <t>파티클 효과</t>
  </si>
  <si>
    <t>카메라 연출</t>
  </si>
  <si>
    <t>전체 밸런싱</t>
  </si>
  <si>
    <t>2025-02-23</t>
  </si>
  <si>
    <t>출시 준비</t>
  </si>
  <si>
    <t>스팀</t>
  </si>
  <si>
    <t>데모 빌드</t>
  </si>
  <si>
    <t>마일스톤: 출시 준비 완료</t>
  </si>
  <si>
    <t>Remote Play Together 확인</t>
  </si>
  <si>
    <t>스팀 데모 업로드</t>
  </si>
  <si>
    <t>최종 점검 및 출시</t>
  </si>
  <si>
    <t>Sub-Feature</t>
  </si>
  <si>
    <t>Status</t>
  </si>
  <si>
    <t>Priority</t>
  </si>
  <si>
    <t>Dependencies</t>
  </si>
  <si>
    <t>Completion Date</t>
  </si>
  <si>
    <t>코딩(기능)</t>
  </si>
  <si>
    <t>이동</t>
  </si>
  <si>
    <t>WASD 이동 입력 처리</t>
  </si>
  <si>
    <t>High</t>
  </si>
  <si>
    <t>-</t>
  </si>
  <si>
    <t>캐릭터 컨트롤러 물리 적용</t>
  </si>
  <si>
    <t>WASD 이동</t>
  </si>
  <si>
    <t>점프</t>
  </si>
  <si>
    <t>점프 입력 처리 (Space)</t>
  </si>
  <si>
    <t>점프 물리 및 높이 조정</t>
  </si>
  <si>
    <t>점프 입력</t>
  </si>
  <si>
    <t>부착</t>
  </si>
  <si>
    <t>벽 감지 (Raycast)</t>
  </si>
  <si>
    <t>벽 감지</t>
  </si>
  <si>
    <t>유지력 시스템 (시간 감소)</t>
  </si>
  <si>
    <t>부착 상태</t>
  </si>
  <si>
    <t>부착 중 이동 (손 위치 고정)</t>
  </si>
  <si>
    <t>새총 발사 기능 필요</t>
  </si>
  <si>
    <t>발사</t>
  </si>
  <si>
    <t>부착 중 이동 방향 입력</t>
  </si>
  <si>
    <t>부착 중 이동</t>
  </si>
  <si>
    <t>3인칭 카메라 구도 전환</t>
  </si>
  <si>
    <t>발사 시점 카메라 조정</t>
  </si>
  <si>
    <t>발사 물리 계산 (탄성)</t>
  </si>
  <si>
    <t>앵그리버드 스타일</t>
  </si>
  <si>
    <t>발사 후 착지 처리</t>
  </si>
  <si>
    <t>발사 물리</t>
  </si>
  <si>
    <t>파츠 제거 트리거 (무게, 데미지)</t>
  </si>
  <si>
    <t>캐릭터 파츠 비활성화</t>
  </si>
  <si>
    <t>파츠 제거</t>
  </si>
  <si>
    <t>파츠별 기능 저하 적용</t>
  </si>
  <si>
    <t>파츠 비활성화</t>
  </si>
  <si>
    <t>머리-시야, 팔-잡기, 다리-이동</t>
  </si>
  <si>
    <t>잡기</t>
  </si>
  <si>
    <t>물체 잡기 (상호작용)</t>
  </si>
  <si>
    <t>E 키 입력</t>
  </si>
  <si>
    <t>잡은 물체 이동 처리</t>
  </si>
  <si>
    <t>물체 잡기</t>
  </si>
  <si>
    <t>플레이어 잡기 (협동)</t>
  </si>
  <si>
    <t>Left Click</t>
  </si>
  <si>
    <t>잡은 플레이어 당기기</t>
  </si>
  <si>
    <t>플레이어 잡기</t>
  </si>
  <si>
    <t>줍기</t>
  </si>
  <si>
    <t>파츠 줍기</t>
  </si>
  <si>
    <t>젤리 시스템</t>
  </si>
  <si>
    <t>젤리양 관리 (파츠별)</t>
  </si>
  <si>
    <t>젤리 부착 (소켓 시스템)</t>
  </si>
  <si>
    <t>젤리양 관리</t>
  </si>
  <si>
    <t>이동 속도 조정 및 파츠별 차이</t>
  </si>
  <si>
    <t>Medium</t>
  </si>
  <si>
    <t>다리 파츠에 따라 속도 차등</t>
  </si>
  <si>
    <t>이중 점프 방지</t>
  </si>
  <si>
    <t>점프 물리</t>
  </si>
  <si>
    <t>포물선 UI 표시</t>
  </si>
  <si>
    <t>카메라 구도</t>
  </si>
  <si>
    <t>분리된 파츠 물리 (튕김)</t>
  </si>
  <si>
    <t>무게에 따른 잡기 가능 여부</t>
  </si>
  <si>
    <t>젤리양 시스템</t>
  </si>
  <si>
    <t>아이템 감지 (Trigger)</t>
  </si>
  <si>
    <t>아이템 줍기 (E 키)</t>
  </si>
  <si>
    <t>아이템 감지</t>
  </si>
  <si>
    <t>인벤토리에 추가</t>
  </si>
  <si>
    <t>인벤토리 시스템</t>
  </si>
  <si>
    <t>아이템 사용</t>
  </si>
  <si>
    <t>아이템 선택 UI</t>
  </si>
  <si>
    <t>아이템 사용 (E 유지)</t>
  </si>
  <si>
    <t>아이템 선택</t>
  </si>
  <si>
    <t>아이템별 효과 적용</t>
  </si>
  <si>
    <t>젤리 분할 (양도)</t>
  </si>
  <si>
    <t>젤리 부착</t>
  </si>
  <si>
    <t>파츠 재부착 불가 처리</t>
  </si>
  <si>
    <t>Low</t>
  </si>
  <si>
    <t>크기 감소/증가 비주얼</t>
  </si>
  <si>
    <t>캐릭터</t>
  </si>
  <si>
    <t>젤리 바디 모델링 (4종류)</t>
  </si>
  <si>
    <t>곰, 고양이, 원숭이, 개구리</t>
  </si>
  <si>
    <t>바디</t>
  </si>
  <si>
    <t>머리 파츠 모델링</t>
  </si>
  <si>
    <t>리깅 (기본 본 구조)</t>
  </si>
  <si>
    <t>전체 파츠</t>
  </si>
  <si>
    <t>오브젝트</t>
  </si>
  <si>
    <t>블록 장난감</t>
  </si>
  <si>
    <t>자동차 장난감</t>
  </si>
  <si>
    <t>기차 장난감</t>
  </si>
  <si>
    <t>Stage 2 필요</t>
  </si>
  <si>
    <t>반투명 재질 적용</t>
  </si>
  <si>
    <t>공 장난감</t>
  </si>
  <si>
    <t>인형 장난감</t>
  </si>
  <si>
    <t>레고 성/대포</t>
  </si>
  <si>
    <t>Stage 3 필요</t>
  </si>
  <si>
    <t>로봇 장난감</t>
  </si>
  <si>
    <t>Stage 4 필요</t>
  </si>
  <si>
    <t>아이템</t>
  </si>
  <si>
    <t>젤리 회복 아이템</t>
  </si>
  <si>
    <t>파츠 강화 아이템</t>
  </si>
  <si>
    <t>대기 (Idle)</t>
  </si>
  <si>
    <t>이동 (Walk)</t>
  </si>
  <si>
    <t>점프 (Jump)</t>
  </si>
  <si>
    <t>부착 (Stick)</t>
  </si>
  <si>
    <t>동적 오브젝트</t>
  </si>
  <si>
    <t>기차 이동</t>
  </si>
  <si>
    <t>기차 모델링</t>
  </si>
  <si>
    <t>발사 준비 자세</t>
  </si>
  <si>
    <t>Stick</t>
  </si>
  <si>
    <t>잡기 (Grab)</t>
  </si>
  <si>
    <t>아이템 손에 든 상태 (팔O)</t>
  </si>
  <si>
    <t>대포 발사</t>
  </si>
  <si>
    <t>대포 모델링</t>
  </si>
  <si>
    <t>아이템 손에 든 상태 (팔X)</t>
  </si>
  <si>
    <t>팔O</t>
  </si>
  <si>
    <t>메인 화면</t>
  </si>
  <si>
    <t>상태창</t>
  </si>
  <si>
    <t>파츠별 젤리량 게이지</t>
  </si>
  <si>
    <t>좀보이드 스타일</t>
  </si>
  <si>
    <t>유지력(Stick) 게이지</t>
  </si>
  <si>
    <t>파츠 소켓 표시</t>
  </si>
  <si>
    <t>인벤토리 슬롯</t>
  </si>
  <si>
    <t>타이틀 화면</t>
  </si>
  <si>
    <t>아이템 아이콘</t>
  </si>
  <si>
    <t>드래그&amp;드롭</t>
  </si>
  <si>
    <t>캐릭터 커스터마이징</t>
  </si>
  <si>
    <t>사용 중 표시</t>
  </si>
  <si>
    <t>블록아웃</t>
  </si>
  <si>
    <t>협동 기믹 2개</t>
  </si>
  <si>
    <t>Stick 활용 구간</t>
  </si>
  <si>
    <t>협동 기믹 배치</t>
  </si>
  <si>
    <t>기차·차 플랫폼 구성</t>
  </si>
  <si>
    <t>움직이는 플랫폼 경로</t>
  </si>
  <si>
    <t>플랫폼 구성</t>
  </si>
  <si>
    <t>협동 기믹 추가</t>
  </si>
  <si>
    <t>플랫폼 경로</t>
  </si>
  <si>
    <t>장난감 모델링</t>
  </si>
  <si>
    <t>중세 레고 테마 구성</t>
  </si>
  <si>
    <t>레고 모델링</t>
  </si>
  <si>
    <t>성문 열기 기믹</t>
  </si>
  <si>
    <t>테마 구성</t>
  </si>
  <si>
    <t>대포 발사 구간</t>
  </si>
  <si>
    <t>합체 로봇 테마 구성</t>
  </si>
  <si>
    <t>로봇 모델링</t>
  </si>
  <si>
    <t>로봇 공격 패턴</t>
  </si>
  <si>
    <t>퍼블리싱</t>
  </si>
  <si>
    <t>스팀 업로드</t>
  </si>
  <si>
    <t>전체 완성</t>
  </si>
  <si>
    <t>소개 동영상 제작</t>
  </si>
  <si>
    <t>Stage 1-2 완성</t>
  </si>
  <si>
    <t>인게임 캡쳐</t>
  </si>
  <si>
    <t>설명글 작성</t>
  </si>
  <si>
    <t>Week</t>
  </si>
  <si>
    <t>Days</t>
  </si>
  <si>
    <t>Focus Area</t>
  </si>
  <si>
    <t>Key Deliverables</t>
  </si>
  <si>
    <t>Completion %</t>
  </si>
  <si>
    <t>Blockers</t>
  </si>
  <si>
    <t>Week 1</t>
  </si>
  <si>
    <t>Day 1-7</t>
  </si>
  <si>
    <t>Input System, 3인칭 이동·점프, 테스트 환경, Blender 기초</t>
  </si>
  <si>
    <t>100%</t>
  </si>
  <si>
    <t>Week 2</t>
  </si>
  <si>
    <t>Day 8-14</t>
  </si>
  <si>
    <t>카메라 &amp; Stick 시스템</t>
  </si>
  <si>
    <t>Cinemachine, Stick Raycast, 유지력 시스템</t>
  </si>
  <si>
    <t>Week 3</t>
  </si>
  <si>
    <t>Day 15-21</t>
  </si>
  <si>
    <t>젤리 캐릭터 모델링</t>
  </si>
  <si>
    <t>바디(4종), 팔, 다리, Unity 연결, 반투명 재질</t>
  </si>
  <si>
    <t>Week 4</t>
  </si>
  <si>
    <t>Day 22-30</t>
  </si>
  <si>
    <t>파츠 시스템 완성</t>
  </si>
  <si>
    <t>파츠 분리, 인벤토리, 장난감 1-4종 | 마일스톤: 1인 플레이 가능</t>
  </si>
  <si>
    <t>아이템 무게 시스템 설계 필요</t>
  </si>
  <si>
    <t>Week 5</t>
  </si>
  <si>
    <t>Day 31-37</t>
  </si>
  <si>
    <t>멀티플레이 기반</t>
  </si>
  <si>
    <t>통합 테스트, 2인/4인 화면 분할, PlayerInputManager</t>
  </si>
  <si>
    <t>0%</t>
  </si>
  <si>
    <t>Week 4 완료 필요</t>
  </si>
  <si>
    <t>Week 6</t>
  </si>
  <si>
    <t>Day 38-44</t>
  </si>
  <si>
    <t>애니메이션 시스템</t>
  </si>
  <si>
    <t>Idle, Jump, Stick Pose, Walk, Animator Controller</t>
  </si>
  <si>
    <t>부분완료</t>
  </si>
  <si>
    <t>40%</t>
  </si>
  <si>
    <t>Walk 애니메이션 필요</t>
  </si>
  <si>
    <t>Week 7</t>
  </si>
  <si>
    <t>Day 45-51</t>
  </si>
  <si>
    <t>시스템 리팩토링 &amp; UI</t>
  </si>
  <si>
    <t>코드 정리, 젤리량/유지력 UI, 메인/옵션 메뉴</t>
  </si>
  <si>
    <t>Week 8</t>
  </si>
  <si>
    <t>Day 52-61</t>
  </si>
  <si>
    <t>아트 작업 1차</t>
  </si>
  <si>
    <t>젤리 재질, 장난감 텍스처, 추가 모델링 | 마일스톤: 멀티+아트 완성</t>
  </si>
  <si>
    <t>Week 9</t>
  </si>
  <si>
    <t>Day 62-68</t>
  </si>
  <si>
    <t>협동 오브젝트, 발판, 레버, 기차, 플랫폼</t>
  </si>
  <si>
    <t>Week 10</t>
  </si>
  <si>
    <t>Day 69-75</t>
  </si>
  <si>
    <t>Stage 1 구성</t>
  </si>
  <si>
    <t>장난감 더미, Stick 활용, 협동 기믹 배치</t>
  </si>
  <si>
    <t>Week 11</t>
  </si>
  <si>
    <t>Day 76-82</t>
  </si>
  <si>
    <t>Stage 2 구성</t>
  </si>
  <si>
    <t>움직이는 장난감, 기차·차 플랫폼 | 마일스톤: 데모 완성</t>
  </si>
  <si>
    <t>Week 12</t>
  </si>
  <si>
    <t>Day 83-89</t>
  </si>
  <si>
    <t>Stage 3 &amp; 4</t>
  </si>
  <si>
    <t>중세 레고, 합체 로봇, 아트 마감</t>
  </si>
  <si>
    <t>Week 13</t>
  </si>
  <si>
    <t>Day 90-92</t>
  </si>
  <si>
    <t>사운드 &amp; 출시 준비</t>
  </si>
  <si>
    <t>SFX, 폴리싱, 스팀 데모 | 마일스톤: 출시 준비 완료</t>
  </si>
  <si>
    <t>토폴로지 필요한지 모르겠음</t>
    <phoneticPr fontId="17" type="noConversion"/>
  </si>
  <si>
    <t>말랑한지 모르겠음</t>
    <phoneticPr fontId="17" type="noConversion"/>
  </si>
  <si>
    <t>오토 웨이트 페인팅 사용</t>
    <phoneticPr fontId="17" type="noConversion"/>
  </si>
  <si>
    <t>안 함</t>
    <phoneticPr fontId="17" type="noConversion"/>
  </si>
  <si>
    <t>파츠 분리 시 페널티</t>
    <phoneticPr fontId="17" type="noConversion"/>
  </si>
  <si>
    <t>곰 젤리 완성</t>
    <phoneticPr fontId="17" type="noConversion"/>
  </si>
  <si>
    <t>UI 이미지 필요</t>
    <phoneticPr fontId="17" type="noConversion"/>
  </si>
  <si>
    <t>ScriptableObject 미사용</t>
    <phoneticPr fontId="17" type="noConversion"/>
  </si>
  <si>
    <t>소켓별 제약 조건 없음</t>
    <phoneticPr fontId="17" type="noConversion"/>
  </si>
  <si>
    <t>파츠 교체 시 능력치 변경 없음</t>
    <phoneticPr fontId="17" type="noConversion"/>
  </si>
  <si>
    <t>소켓X 파츠 활성화/비활성화만 존재</t>
    <phoneticPr fontId="17" type="noConversion"/>
  </si>
  <si>
    <t>파츠 장착 상태 UI 연결 X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</si>
</sst>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b/>
      <sz val="11"/>
      <color rgb="FF006100"/>
      <name val="맑은 고딕"/>
      <family val="3"/>
      <charset val="129"/>
    </font>
    <font>
      <b/>
      <sz val="11"/>
      <name val="맑은 고딕"/>
      <family val="3"/>
      <charset val="129"/>
    </font>
    <font>
      <b/>
      <sz val="10"/>
      <name val="맑은 고딕"/>
      <family val="3"/>
      <charset val="129"/>
    </font>
    <font>
      <b/>
      <sz val="11"/>
      <color rgb="FF9C6500"/>
      <name val="맑은 고딕"/>
      <family val="3"/>
      <charset val="129"/>
    </font>
    <font>
      <b/>
      <sz val="12"/>
      <name val="맑은 고딕"/>
      <family val="3"/>
      <charset val="129"/>
    </font>
    <font>
      <b/>
      <sz val="11"/>
      <color rgb="FFC00000"/>
      <name val="맑은 고딕"/>
      <family val="3"/>
      <charset val="129"/>
    </font>
    <font>
      <sz val="11"/>
      <color rgb="FF9C0006"/>
      <name val="맑은 고딕"/>
      <family val="3"/>
      <charset val="129"/>
    </font>
    <font>
      <sz val="11"/>
      <color rgb="FFFF6600"/>
      <name val="맑은 고딕"/>
      <family val="3"/>
      <charset val="129"/>
    </font>
    <font>
      <sz val="11"/>
      <color rgb="FF7030A0"/>
      <name val="맑은 고딕"/>
      <family val="3"/>
      <charset val="129"/>
    </font>
    <font>
      <b/>
      <sz val="11"/>
      <color rgb="FF70AD47"/>
      <name val="맑은 고딕"/>
      <family val="3"/>
      <charset val="129"/>
    </font>
    <font>
      <b/>
      <sz val="11"/>
      <color rgb="FFBF8F00"/>
      <name val="맑은 고딕"/>
      <family val="3"/>
      <charset val="129"/>
    </font>
    <font>
      <sz val="11"/>
      <color rgb="FF666666"/>
      <name val="맑은 고딕"/>
      <family val="3"/>
      <charset val="129"/>
    </font>
    <font>
      <b/>
      <sz val="11"/>
      <color rgb="FF9C6500"/>
      <name val="맑은 고딕"/>
      <family val="3"/>
      <charset val="129"/>
    </font>
    <font>
      <b/>
      <sz val="14"/>
      <color rgb="FFFFFFFF"/>
      <name val="맑은 고딕"/>
      <family val="3"/>
      <charset val="129"/>
    </font>
    <font>
      <b/>
      <sz val="11"/>
      <color rgb="FF9C0006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28"/>
      <color rgb="FF006100"/>
      <name val="맑은 고딕"/>
      <family val="3"/>
      <charset val="129"/>
    </font>
    <font>
      <b/>
      <sz val="11"/>
      <name val="맑은 고딕"/>
      <family val="3"/>
      <charset val="129"/>
    </font>
  </fonts>
  <fills count="1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FF"/>
        <bgColor rgb="FFFFFFFF"/>
      </patternFill>
    </fill>
    <fill>
      <patternFill patternType="solid">
        <fgColor rgb="FFC6EFCE"/>
        <bgColor rgb="FFC6EFCE"/>
      </patternFill>
    </fill>
    <fill>
      <patternFill patternType="solid">
        <fgColor rgb="FFF2F2F2"/>
        <bgColor rgb="FFF2F2F2"/>
      </patternFill>
    </fill>
    <fill>
      <patternFill patternType="solid">
        <fgColor rgb="FFFFEB9C"/>
        <bgColor rgb="FFFFEB9C"/>
      </patternFill>
    </fill>
    <fill>
      <patternFill patternType="solid">
        <fgColor rgb="FFE7E6F7"/>
        <bgColor rgb="FFE7E6F7"/>
      </patternFill>
    </fill>
    <fill>
      <patternFill patternType="solid">
        <fgColor rgb="FFFFC7CE"/>
        <bgColor rgb="FFFFC7CE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DEEBF7"/>
        <bgColor rgb="FFDEEBF7"/>
      </patternFill>
    </fill>
    <fill>
      <patternFill patternType="solid">
        <fgColor rgb="FFF4B084"/>
        <bgColor rgb="FFF4B084"/>
      </patternFill>
    </fill>
    <fill>
      <patternFill patternType="solid">
        <fgColor rgb="FF2F5496"/>
        <bgColor rgb="FF2F5496"/>
      </patternFill>
    </fill>
    <fill>
      <patternFill patternType="solid">
        <fgColor rgb="FFD5E8D4"/>
        <bgColor rgb="FFD5E8D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7" borderId="0" xfId="0" applyFill="1" applyAlignment="1">
      <alignment vertical="center" wrapText="1"/>
    </xf>
    <xf numFmtId="0" fontId="7" fillId="7" borderId="0" xfId="0" applyFont="1" applyFill="1" applyAlignment="1">
      <alignment vertical="center" wrapText="1"/>
    </xf>
    <xf numFmtId="0" fontId="9" fillId="7" borderId="0" xfId="0" applyFont="1" applyFill="1" applyAlignment="1">
      <alignment vertical="center" wrapText="1"/>
    </xf>
    <xf numFmtId="0" fontId="10" fillId="7" borderId="0" xfId="0" applyFont="1" applyFill="1" applyAlignment="1">
      <alignment vertical="center" wrapText="1"/>
    </xf>
    <xf numFmtId="0" fontId="0" fillId="9" borderId="0" xfId="0" applyFill="1" applyAlignment="1">
      <alignment vertical="center" wrapText="1"/>
    </xf>
    <xf numFmtId="0" fontId="7" fillId="9" borderId="0" xfId="0" applyFont="1" applyFill="1" applyAlignment="1">
      <alignment vertical="center" wrapText="1"/>
    </xf>
    <xf numFmtId="0" fontId="9" fillId="9" borderId="0" xfId="0" applyFont="1" applyFill="1" applyAlignment="1">
      <alignment vertical="center" wrapText="1"/>
    </xf>
    <xf numFmtId="0" fontId="10" fillId="9" borderId="0" xfId="0" applyFont="1" applyFill="1" applyAlignment="1">
      <alignment vertical="center" wrapText="1"/>
    </xf>
    <xf numFmtId="0" fontId="0" fillId="10" borderId="0" xfId="0" applyFill="1" applyAlignment="1">
      <alignment vertical="center" wrapText="1"/>
    </xf>
    <xf numFmtId="0" fontId="7" fillId="10" borderId="0" xfId="0" applyFont="1" applyFill="1" applyAlignment="1">
      <alignment vertical="center" wrapText="1"/>
    </xf>
    <xf numFmtId="0" fontId="9" fillId="10" borderId="0" xfId="0" applyFont="1" applyFill="1" applyAlignment="1">
      <alignment vertical="center" wrapText="1"/>
    </xf>
    <xf numFmtId="0" fontId="10" fillId="10" borderId="0" xfId="0" applyFont="1" applyFill="1" applyAlignment="1">
      <alignment vertical="center" wrapText="1"/>
    </xf>
    <xf numFmtId="0" fontId="0" fillId="11" borderId="0" xfId="0" applyFill="1" applyAlignment="1">
      <alignment vertical="center" wrapText="1"/>
    </xf>
    <xf numFmtId="0" fontId="7" fillId="11" borderId="0" xfId="0" applyFont="1" applyFill="1" applyAlignment="1">
      <alignment vertical="center" wrapText="1"/>
    </xf>
    <xf numFmtId="0" fontId="9" fillId="11" borderId="0" xfId="0" applyFont="1" applyFill="1" applyAlignment="1">
      <alignment vertical="center" wrapText="1"/>
    </xf>
    <xf numFmtId="0" fontId="10" fillId="11" borderId="0" xfId="0" applyFont="1" applyFill="1" applyAlignment="1">
      <alignment vertical="center" wrapText="1"/>
    </xf>
    <xf numFmtId="0" fontId="0" fillId="12" borderId="0" xfId="0" applyFill="1" applyAlignment="1">
      <alignment vertical="center" wrapText="1"/>
    </xf>
    <xf numFmtId="0" fontId="7" fillId="12" borderId="0" xfId="0" applyFont="1" applyFill="1" applyAlignment="1">
      <alignment vertical="center" wrapText="1"/>
    </xf>
    <xf numFmtId="0" fontId="9" fillId="12" borderId="0" xfId="0" applyFont="1" applyFill="1" applyAlignment="1">
      <alignment vertical="center" wrapText="1"/>
    </xf>
    <xf numFmtId="0" fontId="10" fillId="12" borderId="0" xfId="0" applyFont="1" applyFill="1" applyAlignment="1">
      <alignment vertical="center" wrapText="1"/>
    </xf>
    <xf numFmtId="0" fontId="0" fillId="13" borderId="0" xfId="0" applyFill="1" applyAlignment="1">
      <alignment vertical="center" wrapText="1"/>
    </xf>
    <xf numFmtId="0" fontId="7" fillId="13" borderId="0" xfId="0" applyFont="1" applyFill="1" applyAlignment="1">
      <alignment vertical="center" wrapText="1"/>
    </xf>
    <xf numFmtId="0" fontId="9" fillId="13" borderId="0" xfId="0" applyFont="1" applyFill="1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11" fillId="10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right" vertical="center"/>
    </xf>
    <xf numFmtId="9" fontId="2" fillId="4" borderId="0" xfId="0" applyNumberFormat="1" applyFont="1" applyFill="1" applyAlignment="1">
      <alignment horizontal="center" vertical="center"/>
    </xf>
    <xf numFmtId="9" fontId="5" fillId="6" borderId="0" xfId="0" applyNumberFormat="1" applyFont="1" applyFill="1" applyAlignment="1">
      <alignment horizontal="center" vertical="center"/>
    </xf>
    <xf numFmtId="9" fontId="12" fillId="11" borderId="0" xfId="0" applyNumberFormat="1" applyFont="1" applyFill="1" applyAlignment="1">
      <alignment horizontal="center" vertical="center"/>
    </xf>
    <xf numFmtId="9" fontId="13" fillId="5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9" fontId="0" fillId="7" borderId="0" xfId="0" applyNumberForma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9" fontId="0" fillId="9" borderId="0" xfId="0" applyNumberFormat="1" applyFill="1" applyAlignment="1">
      <alignment horizontal="center" vertical="center"/>
    </xf>
    <xf numFmtId="9" fontId="0" fillId="10" borderId="0" xfId="0" applyNumberFormat="1" applyFill="1" applyAlignment="1">
      <alignment horizontal="center" vertical="center"/>
    </xf>
    <xf numFmtId="9" fontId="0" fillId="11" borderId="0" xfId="0" applyNumberFormat="1" applyFill="1" applyAlignment="1">
      <alignment horizontal="center" vertical="center"/>
    </xf>
    <xf numFmtId="9" fontId="0" fillId="12" borderId="0" xfId="0" applyNumberFormat="1" applyFill="1" applyAlignment="1">
      <alignment horizontal="center" vertical="center"/>
    </xf>
    <xf numFmtId="9" fontId="0" fillId="13" borderId="0" xfId="0" applyNumberFormat="1" applyFill="1" applyAlignment="1">
      <alignment horizontal="center" vertical="center"/>
    </xf>
    <xf numFmtId="0" fontId="0" fillId="16" borderId="0" xfId="0" applyFill="1"/>
    <xf numFmtId="14" fontId="0" fillId="7" borderId="0" xfId="0" applyNumberFormat="1" applyFill="1" applyAlignment="1">
      <alignment vertical="center" wrapText="1"/>
    </xf>
    <xf numFmtId="14" fontId="0" fillId="9" borderId="0" xfId="0" applyNumberFormat="1" applyFill="1" applyAlignment="1">
      <alignment vertical="center" wrapText="1"/>
    </xf>
    <xf numFmtId="9" fontId="0" fillId="0" borderId="0" xfId="0" applyNumberFormat="1" applyAlignment="1">
      <alignment horizontal="center" vertical="center" wrapText="1"/>
    </xf>
    <xf numFmtId="0" fontId="15" fillId="14" borderId="1" xfId="0" applyFont="1" applyFill="1" applyBorder="1" applyAlignment="1">
      <alignment horizontal="center" vertical="center"/>
    </xf>
    <xf numFmtId="0" fontId="0" fillId="0" borderId="3" xfId="0" applyBorder="1"/>
    <xf numFmtId="0" fontId="0" fillId="0" borderId="2" xfId="0" applyBorder="1"/>
    <xf numFmtId="0" fontId="4" fillId="3" borderId="0" xfId="0" applyFont="1" applyFill="1" applyAlignment="1">
      <alignment horizontal="center" vertical="center"/>
    </xf>
    <xf numFmtId="0" fontId="0" fillId="0" borderId="0" xfId="0"/>
    <xf numFmtId="0" fontId="4" fillId="5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9" fontId="19" fillId="4" borderId="0" xfId="0" applyNumberFormat="1" applyFont="1" applyFill="1" applyAlignment="1">
      <alignment horizontal="center" vertical="center"/>
    </xf>
    <xf numFmtId="9" fontId="19" fillId="5" borderId="0" xfId="0" applyNumberFormat="1" applyFont="1" applyFill="1" applyAlignment="1">
      <alignment horizontal="center" vertical="center"/>
    </xf>
    <xf numFmtId="9" fontId="19" fillId="6" borderId="0" xfId="0" applyNumberFormat="1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9" fontId="18" fillId="15" borderId="1" xfId="0" applyNumberFormat="1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6" fillId="12" borderId="0" xfId="0" applyFont="1" applyFill="1" applyAlignment="1">
      <alignment horizontal="center" vertical="center"/>
    </xf>
  </cellXfs>
  <cellStyles count="1">
    <cellStyle name="표준" xfId="0" builtinId="0"/>
  </cellStyles>
  <dxfs count="21">
    <dxf>
      <font>
        <color rgb="FF666666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C65911"/>
      </font>
      <fill>
        <patternFill patternType="solid">
          <fgColor rgb="FFFCE4D6"/>
          <bgColor rgb="FFFCE4D6"/>
        </patternFill>
      </fill>
    </dxf>
    <dxf>
      <font>
        <b/>
        <color rgb="FFBF8F00"/>
      </font>
      <fill>
        <patternFill patternType="solid">
          <fgColor rgb="FFFFF2CC"/>
          <bgColor rgb="FFFFF2CC"/>
        </patternFill>
      </fill>
    </dxf>
    <dxf>
      <font>
        <b/>
        <color rgb="FF9C6500"/>
      </font>
      <fill>
        <patternFill patternType="solid">
          <fgColor rgb="FFFFEB9C"/>
          <bgColor rgb="FFFFEB9C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6500"/>
      </font>
      <fill>
        <patternFill patternType="solid">
          <fgColor rgb="FFFFEB9C"/>
          <bgColor rgb="FFFFEB9C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color rgb="FF666666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C65911"/>
      </font>
      <fill>
        <patternFill patternType="solid">
          <fgColor rgb="FFFCE4D6"/>
          <bgColor rgb="FFFCE4D6"/>
        </patternFill>
      </fill>
    </dxf>
    <dxf>
      <font>
        <b/>
        <color rgb="FFBF8F00"/>
      </font>
      <fill>
        <patternFill patternType="solid">
          <fgColor rgb="FFFFF2CC"/>
          <bgColor rgb="FFFFF2CC"/>
        </patternFill>
      </fill>
    </dxf>
    <dxf>
      <font>
        <b/>
        <color rgb="FF9C6500"/>
      </font>
      <fill>
        <patternFill patternType="solid">
          <fgColor rgb="FFFFEB9C"/>
          <bgColor rgb="FFFFEB9C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color rgb="FF666666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C65911"/>
      </font>
      <fill>
        <patternFill patternType="solid">
          <fgColor rgb="FFFCE4D6"/>
          <bgColor rgb="FFFCE4D6"/>
        </patternFill>
      </fill>
    </dxf>
    <dxf>
      <font>
        <b/>
        <color rgb="FFBF8F00"/>
      </font>
      <fill>
        <patternFill patternType="solid">
          <fgColor rgb="FFFFF2CC"/>
          <bgColor rgb="FFFFF2CC"/>
        </patternFill>
      </fill>
    </dxf>
    <dxf>
      <font>
        <b/>
        <color rgb="FF9C6500"/>
      </font>
      <fill>
        <patternFill patternType="solid">
          <fgColor rgb="FFFFEB9C"/>
          <bgColor rgb="FFFFEB9C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2"/>
  <sheetViews>
    <sheetView tabSelected="1" topLeftCell="A80" zoomScale="85" zoomScaleNormal="85" workbookViewId="0">
      <selection activeCell="F87" sqref="F87"/>
    </sheetView>
  </sheetViews>
  <sheetFormatPr defaultRowHeight="16.5" x14ac:dyDescent="0.3"/>
  <cols>
    <col min="1" max="1" width="8" customWidth="1"/>
    <col min="2" max="2" width="12" customWidth="1"/>
    <col min="3" max="3" width="18" customWidth="1"/>
    <col min="4" max="4" width="22" customWidth="1"/>
    <col min="5" max="5" width="50" customWidth="1"/>
    <col min="6" max="6" width="10" customWidth="1"/>
    <col min="7" max="8" width="8" customWidth="1"/>
    <col min="9" max="9" width="20" customWidth="1"/>
    <col min="10" max="10" width="40" customWidth="1"/>
    <col min="11" max="11" width="12" customWidth="1"/>
    <col min="13" max="15" width="8" customWidth="1"/>
  </cols>
  <sheetData>
    <row r="1" spans="1:15" ht="20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M1" s="49" t="s">
        <v>11</v>
      </c>
      <c r="N1" s="50"/>
      <c r="O1" s="51"/>
    </row>
    <row r="2" spans="1:15" ht="41.25" customHeight="1" x14ac:dyDescent="0.3">
      <c r="A2" s="55">
        <v>1</v>
      </c>
      <c r="B2" s="52" t="s">
        <v>12</v>
      </c>
      <c r="C2" s="2" t="s">
        <v>13</v>
      </c>
      <c r="D2" s="2" t="s">
        <v>14</v>
      </c>
      <c r="E2" s="2" t="s">
        <v>15</v>
      </c>
      <c r="F2" s="32">
        <v>1</v>
      </c>
      <c r="G2" s="2">
        <v>1</v>
      </c>
      <c r="H2" s="2"/>
      <c r="I2" s="2"/>
      <c r="J2" s="2"/>
      <c r="K2" s="57">
        <f>AVERAGE($F$2:$F$6)</f>
        <v>1</v>
      </c>
      <c r="M2" s="62">
        <f>AVERAGE(F2:F292)</f>
        <v>0.28814432989690719</v>
      </c>
      <c r="N2" s="50"/>
      <c r="O2" s="51"/>
    </row>
    <row r="3" spans="1:15" x14ac:dyDescent="0.3">
      <c r="A3" s="53"/>
      <c r="B3" s="53"/>
      <c r="C3" s="2" t="s">
        <v>13</v>
      </c>
      <c r="D3" s="2" t="s">
        <v>14</v>
      </c>
      <c r="E3" s="2" t="s">
        <v>17</v>
      </c>
      <c r="F3" s="32">
        <v>1</v>
      </c>
      <c r="G3" s="2">
        <v>1</v>
      </c>
      <c r="H3" s="2"/>
      <c r="I3" s="2"/>
      <c r="J3" s="2"/>
      <c r="K3" s="53"/>
      <c r="M3" s="31" t="s">
        <v>16</v>
      </c>
      <c r="N3" s="60" t="str">
        <f>COUNTIF(F2:F292,1)&amp;" / "&amp;COUNTA(F2:F292)</f>
        <v>80 / 291</v>
      </c>
      <c r="O3" s="51"/>
    </row>
    <row r="4" spans="1:15" x14ac:dyDescent="0.3">
      <c r="A4" s="53"/>
      <c r="B4" s="53"/>
      <c r="C4" s="2" t="s">
        <v>13</v>
      </c>
      <c r="D4" s="2" t="s">
        <v>18</v>
      </c>
      <c r="E4" s="2" t="s">
        <v>19</v>
      </c>
      <c r="F4" s="32">
        <v>1</v>
      </c>
      <c r="G4" s="2">
        <v>0.5</v>
      </c>
      <c r="H4" s="2"/>
      <c r="I4" s="2"/>
      <c r="J4" s="2"/>
      <c r="K4" s="53"/>
      <c r="M4" s="31" t="s">
        <v>20</v>
      </c>
      <c r="N4" s="60" t="str">
        <f>ROUND(COUNTIF(F2:F292,1)/COUNTA(F2:F292)*100,1)&amp;"%"</f>
        <v>27.5%</v>
      </c>
      <c r="O4" s="51"/>
    </row>
    <row r="5" spans="1:15" x14ac:dyDescent="0.3">
      <c r="A5" s="53"/>
      <c r="B5" s="53"/>
      <c r="C5" s="2" t="s">
        <v>13</v>
      </c>
      <c r="D5" s="2" t="s">
        <v>18</v>
      </c>
      <c r="E5" s="2" t="s">
        <v>21</v>
      </c>
      <c r="F5" s="32">
        <v>1</v>
      </c>
      <c r="G5" s="2">
        <v>1.5</v>
      </c>
      <c r="H5" s="2"/>
      <c r="I5" s="2"/>
      <c r="J5" s="2"/>
      <c r="K5" s="53"/>
      <c r="M5" s="31" t="s">
        <v>22</v>
      </c>
      <c r="N5" s="63">
        <f>SUMPRODUCT((F2:F292&gt;0)*(F2:F292&lt;1))</f>
        <v>7</v>
      </c>
      <c r="O5" s="51"/>
    </row>
    <row r="6" spans="1:15" x14ac:dyDescent="0.3">
      <c r="A6" s="53"/>
      <c r="B6" s="53"/>
      <c r="C6" s="2" t="s">
        <v>13</v>
      </c>
      <c r="D6" s="2" t="s">
        <v>23</v>
      </c>
      <c r="E6" s="2" t="s">
        <v>24</v>
      </c>
      <c r="F6" s="32">
        <v>1</v>
      </c>
      <c r="G6" s="2">
        <v>2</v>
      </c>
      <c r="H6" s="2"/>
      <c r="I6" s="2"/>
      <c r="J6" s="2"/>
      <c r="K6" s="53"/>
      <c r="M6" s="31" t="s">
        <v>25</v>
      </c>
      <c r="N6" s="61">
        <f>COUNTIF(F2:F292,0)</f>
        <v>204</v>
      </c>
      <c r="O6" s="51"/>
    </row>
    <row r="7" spans="1:15" x14ac:dyDescent="0.3">
      <c r="A7" s="56">
        <v>2</v>
      </c>
      <c r="B7" s="54" t="s">
        <v>26</v>
      </c>
      <c r="C7" s="3" t="s">
        <v>13</v>
      </c>
      <c r="D7" s="3" t="s">
        <v>23</v>
      </c>
      <c r="E7" s="3" t="s">
        <v>27</v>
      </c>
      <c r="F7" s="32">
        <v>1</v>
      </c>
      <c r="G7" s="3">
        <v>3</v>
      </c>
      <c r="H7" s="3"/>
      <c r="I7" s="3"/>
      <c r="J7" s="3"/>
      <c r="K7" s="57">
        <f>AVERAGE($F$7:$F$9)</f>
        <v>1</v>
      </c>
      <c r="M7" s="31" t="s">
        <v>28</v>
      </c>
      <c r="N7" s="60" t="s">
        <v>29</v>
      </c>
      <c r="O7" s="51"/>
    </row>
    <row r="8" spans="1:15" x14ac:dyDescent="0.3">
      <c r="A8" s="53"/>
      <c r="B8" s="53"/>
      <c r="C8" s="3" t="s">
        <v>13</v>
      </c>
      <c r="D8" s="3" t="s">
        <v>23</v>
      </c>
      <c r="E8" s="3" t="s">
        <v>30</v>
      </c>
      <c r="F8" s="32">
        <v>1</v>
      </c>
      <c r="G8" s="3">
        <v>2</v>
      </c>
      <c r="H8" s="3"/>
      <c r="I8" s="3"/>
      <c r="J8" s="3"/>
      <c r="K8" s="53"/>
      <c r="M8" s="31" t="s">
        <v>31</v>
      </c>
      <c r="N8" s="60" t="s">
        <v>32</v>
      </c>
      <c r="O8" s="51"/>
    </row>
    <row r="9" spans="1:15" x14ac:dyDescent="0.3">
      <c r="A9" s="53"/>
      <c r="B9" s="53"/>
      <c r="C9" s="3" t="s">
        <v>13</v>
      </c>
      <c r="D9" s="3" t="s">
        <v>23</v>
      </c>
      <c r="E9" s="3" t="s">
        <v>33</v>
      </c>
      <c r="F9" s="32">
        <v>1</v>
      </c>
      <c r="G9" s="3">
        <v>3</v>
      </c>
      <c r="H9" s="3"/>
      <c r="I9" s="3"/>
      <c r="J9" s="3"/>
      <c r="K9" s="53"/>
    </row>
    <row r="10" spans="1:15" x14ac:dyDescent="0.3">
      <c r="A10" s="55">
        <v>3</v>
      </c>
      <c r="B10" s="52" t="s">
        <v>34</v>
      </c>
      <c r="C10" s="2" t="s">
        <v>35</v>
      </c>
      <c r="D10" s="2" t="s">
        <v>36</v>
      </c>
      <c r="E10" s="2" t="s">
        <v>37</v>
      </c>
      <c r="F10" s="32">
        <v>1</v>
      </c>
      <c r="G10" s="2">
        <v>1.5</v>
      </c>
      <c r="H10" s="2"/>
      <c r="I10" s="2"/>
      <c r="J10" s="2"/>
      <c r="K10" s="57">
        <f>AVERAGE($F$10:$F$13)</f>
        <v>1</v>
      </c>
    </row>
    <row r="11" spans="1:15" x14ac:dyDescent="0.3">
      <c r="A11" s="53"/>
      <c r="B11" s="53"/>
      <c r="C11" s="2" t="s">
        <v>35</v>
      </c>
      <c r="D11" s="2" t="s">
        <v>36</v>
      </c>
      <c r="E11" s="2" t="s">
        <v>38</v>
      </c>
      <c r="F11" s="32">
        <v>1</v>
      </c>
      <c r="G11" s="2">
        <v>2.5</v>
      </c>
      <c r="H11" s="2"/>
      <c r="I11" s="2"/>
      <c r="J11" s="2"/>
      <c r="K11" s="53"/>
    </row>
    <row r="12" spans="1:15" x14ac:dyDescent="0.3">
      <c r="A12" s="53"/>
      <c r="B12" s="53"/>
      <c r="C12" s="2" t="s">
        <v>35</v>
      </c>
      <c r="D12" s="2" t="s">
        <v>36</v>
      </c>
      <c r="E12" s="2" t="s">
        <v>39</v>
      </c>
      <c r="F12" s="32">
        <v>1</v>
      </c>
      <c r="G12" s="2">
        <v>2</v>
      </c>
      <c r="H12" s="2"/>
      <c r="I12" s="2"/>
      <c r="J12" s="2"/>
      <c r="K12" s="53"/>
    </row>
    <row r="13" spans="1:15" x14ac:dyDescent="0.3">
      <c r="A13" s="53"/>
      <c r="B13" s="53"/>
      <c r="C13" s="2" t="s">
        <v>35</v>
      </c>
      <c r="D13" s="2" t="s">
        <v>36</v>
      </c>
      <c r="E13" s="2" t="s">
        <v>40</v>
      </c>
      <c r="F13" s="32">
        <v>1</v>
      </c>
      <c r="G13" s="2">
        <v>2</v>
      </c>
      <c r="H13" s="2"/>
      <c r="I13" s="2"/>
      <c r="J13" s="2"/>
      <c r="K13" s="53"/>
    </row>
    <row r="14" spans="1:15" x14ac:dyDescent="0.3">
      <c r="A14" s="56">
        <v>4</v>
      </c>
      <c r="B14" s="54" t="s">
        <v>41</v>
      </c>
      <c r="C14" s="3" t="s">
        <v>35</v>
      </c>
      <c r="D14" s="3" t="s">
        <v>36</v>
      </c>
      <c r="E14" s="3" t="s">
        <v>42</v>
      </c>
      <c r="F14" s="32">
        <v>1</v>
      </c>
      <c r="G14" s="3">
        <v>3</v>
      </c>
      <c r="H14" s="3"/>
      <c r="I14" s="3"/>
      <c r="J14" s="3"/>
      <c r="K14" s="57">
        <f>AVERAGE($F$14:$F$16)</f>
        <v>1</v>
      </c>
    </row>
    <row r="15" spans="1:15" x14ac:dyDescent="0.3">
      <c r="A15" s="53"/>
      <c r="B15" s="53"/>
      <c r="C15" s="3" t="s">
        <v>35</v>
      </c>
      <c r="D15" s="3" t="s">
        <v>36</v>
      </c>
      <c r="E15" s="3" t="s">
        <v>43</v>
      </c>
      <c r="F15" s="32">
        <v>1</v>
      </c>
      <c r="G15" s="3">
        <v>2</v>
      </c>
      <c r="H15" s="3"/>
      <c r="I15" s="3"/>
      <c r="J15" s="3"/>
      <c r="K15" s="53"/>
    </row>
    <row r="16" spans="1:15" x14ac:dyDescent="0.3">
      <c r="A16" s="53"/>
      <c r="B16" s="53"/>
      <c r="C16" s="3" t="s">
        <v>35</v>
      </c>
      <c r="D16" s="3" t="s">
        <v>36</v>
      </c>
      <c r="E16" s="3" t="s">
        <v>44</v>
      </c>
      <c r="F16" s="32">
        <v>1</v>
      </c>
      <c r="G16" s="3">
        <v>3</v>
      </c>
      <c r="H16" s="3"/>
      <c r="I16" s="3"/>
      <c r="J16" s="3"/>
      <c r="K16" s="53"/>
    </row>
    <row r="17" spans="1:11" x14ac:dyDescent="0.3">
      <c r="A17" s="55">
        <v>5</v>
      </c>
      <c r="B17" s="52" t="s">
        <v>45</v>
      </c>
      <c r="C17" s="2" t="s">
        <v>46</v>
      </c>
      <c r="D17" s="2" t="s">
        <v>47</v>
      </c>
      <c r="E17" s="2" t="s">
        <v>48</v>
      </c>
      <c r="F17" s="32">
        <v>1</v>
      </c>
      <c r="G17" s="2">
        <v>2</v>
      </c>
      <c r="H17" s="2"/>
      <c r="I17" s="2"/>
      <c r="J17" s="2"/>
      <c r="K17" s="57">
        <f>AVERAGE($F$17:$F$19)</f>
        <v>1</v>
      </c>
    </row>
    <row r="18" spans="1:11" x14ac:dyDescent="0.3">
      <c r="A18" s="53"/>
      <c r="B18" s="53"/>
      <c r="C18" s="2" t="s">
        <v>46</v>
      </c>
      <c r="D18" s="2" t="s">
        <v>47</v>
      </c>
      <c r="E18" s="2" t="s">
        <v>49</v>
      </c>
      <c r="F18" s="32">
        <v>1</v>
      </c>
      <c r="G18" s="2">
        <v>2</v>
      </c>
      <c r="H18" s="2"/>
      <c r="I18" s="2"/>
      <c r="J18" s="2"/>
      <c r="K18" s="53"/>
    </row>
    <row r="19" spans="1:11" x14ac:dyDescent="0.3">
      <c r="A19" s="53"/>
      <c r="B19" s="53"/>
      <c r="C19" s="2" t="s">
        <v>46</v>
      </c>
      <c r="D19" s="2" t="s">
        <v>47</v>
      </c>
      <c r="E19" s="2" t="s">
        <v>50</v>
      </c>
      <c r="F19" s="32">
        <v>1</v>
      </c>
      <c r="G19" s="2">
        <v>4</v>
      </c>
      <c r="H19" s="2"/>
      <c r="I19" s="2"/>
      <c r="J19" s="2"/>
      <c r="K19" s="53"/>
    </row>
    <row r="20" spans="1:11" x14ac:dyDescent="0.3">
      <c r="A20" s="56">
        <v>6</v>
      </c>
      <c r="B20" s="54" t="s">
        <v>51</v>
      </c>
      <c r="C20" s="3" t="s">
        <v>46</v>
      </c>
      <c r="D20" s="3" t="s">
        <v>52</v>
      </c>
      <c r="E20" s="3" t="s">
        <v>53</v>
      </c>
      <c r="F20" s="32">
        <v>1</v>
      </c>
      <c r="G20" s="3">
        <v>3</v>
      </c>
      <c r="H20" s="3"/>
      <c r="I20" s="3"/>
      <c r="J20" s="3"/>
      <c r="K20" s="57">
        <f>AVERAGE($F$20:$F$22)</f>
        <v>1</v>
      </c>
    </row>
    <row r="21" spans="1:11" x14ac:dyDescent="0.3">
      <c r="A21" s="53"/>
      <c r="B21" s="53"/>
      <c r="C21" s="3" t="s">
        <v>46</v>
      </c>
      <c r="D21" s="3" t="s">
        <v>52</v>
      </c>
      <c r="E21" s="3" t="s">
        <v>54</v>
      </c>
      <c r="F21" s="32">
        <v>1</v>
      </c>
      <c r="G21" s="3">
        <v>3</v>
      </c>
      <c r="H21" s="3"/>
      <c r="I21" s="3"/>
      <c r="J21" s="3"/>
      <c r="K21" s="53"/>
    </row>
    <row r="22" spans="1:11" x14ac:dyDescent="0.3">
      <c r="A22" s="53"/>
      <c r="B22" s="53"/>
      <c r="C22" s="3" t="s">
        <v>46</v>
      </c>
      <c r="D22" s="3" t="s">
        <v>52</v>
      </c>
      <c r="E22" s="3" t="s">
        <v>55</v>
      </c>
      <c r="F22" s="32">
        <v>1</v>
      </c>
      <c r="G22" s="3">
        <v>2</v>
      </c>
      <c r="H22" s="3"/>
      <c r="I22" s="3"/>
      <c r="J22" s="3"/>
      <c r="K22" s="53"/>
    </row>
    <row r="23" spans="1:11" x14ac:dyDescent="0.3">
      <c r="A23" s="55">
        <v>7</v>
      </c>
      <c r="B23" s="52" t="s">
        <v>56</v>
      </c>
      <c r="C23" s="2" t="s">
        <v>46</v>
      </c>
      <c r="D23" s="2" t="s">
        <v>57</v>
      </c>
      <c r="E23" s="2" t="s">
        <v>58</v>
      </c>
      <c r="F23" s="32">
        <v>1</v>
      </c>
      <c r="G23" s="2">
        <v>2</v>
      </c>
      <c r="H23" s="2"/>
      <c r="I23" s="2"/>
      <c r="J23" s="2"/>
      <c r="K23" s="57">
        <f>AVERAGE($F$23:$F$25)</f>
        <v>1</v>
      </c>
    </row>
    <row r="24" spans="1:11" x14ac:dyDescent="0.3">
      <c r="A24" s="53"/>
      <c r="B24" s="53"/>
      <c r="C24" s="2" t="s">
        <v>46</v>
      </c>
      <c r="D24" s="2" t="s">
        <v>57</v>
      </c>
      <c r="E24" s="2" t="s">
        <v>59</v>
      </c>
      <c r="F24" s="32">
        <v>1</v>
      </c>
      <c r="G24" s="2">
        <v>2</v>
      </c>
      <c r="H24" s="2"/>
      <c r="I24" s="2"/>
      <c r="J24" s="2"/>
      <c r="K24" s="53"/>
    </row>
    <row r="25" spans="1:11" x14ac:dyDescent="0.3">
      <c r="A25" s="53"/>
      <c r="B25" s="53"/>
      <c r="C25" s="2" t="s">
        <v>46</v>
      </c>
      <c r="D25" s="2" t="s">
        <v>57</v>
      </c>
      <c r="E25" s="2" t="s">
        <v>60</v>
      </c>
      <c r="F25" s="32">
        <v>1</v>
      </c>
      <c r="G25" s="2">
        <v>3</v>
      </c>
      <c r="H25" s="2"/>
      <c r="I25" s="2"/>
      <c r="J25" s="2"/>
      <c r="K25" s="53"/>
    </row>
    <row r="26" spans="1:11" x14ac:dyDescent="0.3">
      <c r="A26" s="56">
        <v>8</v>
      </c>
      <c r="B26" s="54" t="s">
        <v>61</v>
      </c>
      <c r="C26" s="3" t="s">
        <v>62</v>
      </c>
      <c r="D26" s="3" t="s">
        <v>63</v>
      </c>
      <c r="E26" s="3" t="s">
        <v>64</v>
      </c>
      <c r="F26" s="32">
        <v>1</v>
      </c>
      <c r="G26" s="3">
        <v>0.5</v>
      </c>
      <c r="H26" s="3"/>
      <c r="I26" s="3"/>
      <c r="J26" s="3"/>
      <c r="K26" s="57">
        <f>AVERAGE($F$26:$F$29)</f>
        <v>1</v>
      </c>
    </row>
    <row r="27" spans="1:11" x14ac:dyDescent="0.3">
      <c r="A27" s="53"/>
      <c r="B27" s="53"/>
      <c r="C27" s="3" t="s">
        <v>62</v>
      </c>
      <c r="D27" s="3" t="s">
        <v>63</v>
      </c>
      <c r="E27" s="3" t="s">
        <v>65</v>
      </c>
      <c r="F27" s="32">
        <v>1</v>
      </c>
      <c r="G27" s="3">
        <v>2</v>
      </c>
      <c r="H27" s="3"/>
      <c r="I27" s="3"/>
      <c r="J27" s="3"/>
      <c r="K27" s="53"/>
    </row>
    <row r="28" spans="1:11" x14ac:dyDescent="0.3">
      <c r="A28" s="53"/>
      <c r="B28" s="53"/>
      <c r="C28" s="3" t="s">
        <v>62</v>
      </c>
      <c r="D28" s="3" t="s">
        <v>63</v>
      </c>
      <c r="E28" s="3" t="s">
        <v>66</v>
      </c>
      <c r="F28" s="32">
        <v>1</v>
      </c>
      <c r="G28" s="3">
        <v>2.5</v>
      </c>
      <c r="H28" s="3"/>
      <c r="I28" s="3"/>
      <c r="J28" s="3"/>
      <c r="K28" s="53"/>
    </row>
    <row r="29" spans="1:11" x14ac:dyDescent="0.3">
      <c r="A29" s="53"/>
      <c r="B29" s="53"/>
      <c r="C29" s="3" t="s">
        <v>62</v>
      </c>
      <c r="D29" s="3" t="s">
        <v>63</v>
      </c>
      <c r="E29" s="3" t="s">
        <v>67</v>
      </c>
      <c r="F29" s="32">
        <v>1</v>
      </c>
      <c r="G29" s="3">
        <v>3</v>
      </c>
      <c r="H29" s="3"/>
      <c r="I29" s="3"/>
      <c r="J29" s="3"/>
      <c r="K29" s="53"/>
    </row>
    <row r="30" spans="1:11" x14ac:dyDescent="0.3">
      <c r="A30" s="55">
        <v>9</v>
      </c>
      <c r="B30" s="52" t="s">
        <v>68</v>
      </c>
      <c r="C30" s="2" t="s">
        <v>62</v>
      </c>
      <c r="D30" s="2" t="s">
        <v>69</v>
      </c>
      <c r="E30" s="2" t="s">
        <v>70</v>
      </c>
      <c r="F30" s="32">
        <v>1</v>
      </c>
      <c r="G30" s="2">
        <v>2</v>
      </c>
      <c r="H30" s="2"/>
      <c r="I30" s="2"/>
      <c r="J30" s="2"/>
      <c r="K30" s="57">
        <f>AVERAGE($F$30:$F$32)</f>
        <v>1</v>
      </c>
    </row>
    <row r="31" spans="1:11" x14ac:dyDescent="0.3">
      <c r="A31" s="53"/>
      <c r="B31" s="53"/>
      <c r="C31" s="2" t="s">
        <v>62</v>
      </c>
      <c r="D31" s="2" t="s">
        <v>69</v>
      </c>
      <c r="E31" s="2" t="s">
        <v>71</v>
      </c>
      <c r="F31" s="32">
        <v>1</v>
      </c>
      <c r="G31" s="2">
        <v>2</v>
      </c>
      <c r="H31" s="2"/>
      <c r="I31" s="2"/>
      <c r="J31" s="2"/>
      <c r="K31" s="53"/>
    </row>
    <row r="32" spans="1:11" x14ac:dyDescent="0.3">
      <c r="A32" s="53"/>
      <c r="B32" s="53"/>
      <c r="C32" s="2" t="s">
        <v>62</v>
      </c>
      <c r="D32" s="2" t="s">
        <v>69</v>
      </c>
      <c r="E32" s="2" t="s">
        <v>72</v>
      </c>
      <c r="F32" s="32">
        <v>1</v>
      </c>
      <c r="G32" s="2">
        <v>3</v>
      </c>
      <c r="H32" s="2"/>
      <c r="I32" s="2"/>
      <c r="J32" s="2"/>
      <c r="K32" s="53"/>
    </row>
    <row r="33" spans="1:11" x14ac:dyDescent="0.3">
      <c r="A33" s="56">
        <v>10</v>
      </c>
      <c r="B33" s="54" t="s">
        <v>73</v>
      </c>
      <c r="C33" s="3" t="s">
        <v>74</v>
      </c>
      <c r="D33" s="3" t="s">
        <v>75</v>
      </c>
      <c r="E33" s="3" t="s">
        <v>76</v>
      </c>
      <c r="F33" s="32">
        <v>1</v>
      </c>
      <c r="G33" s="3">
        <v>3</v>
      </c>
      <c r="H33" s="3"/>
      <c r="I33" s="3"/>
      <c r="J33" s="3"/>
      <c r="K33" s="57">
        <f>AVERAGE($F$33:$F$35)</f>
        <v>1</v>
      </c>
    </row>
    <row r="34" spans="1:11" x14ac:dyDescent="0.3">
      <c r="A34" s="53"/>
      <c r="B34" s="53"/>
      <c r="C34" s="3" t="s">
        <v>74</v>
      </c>
      <c r="D34" s="3" t="s">
        <v>75</v>
      </c>
      <c r="E34" s="3" t="s">
        <v>77</v>
      </c>
      <c r="F34" s="32">
        <v>1</v>
      </c>
      <c r="G34" s="3">
        <v>2</v>
      </c>
      <c r="H34" s="3"/>
      <c r="I34" s="3"/>
      <c r="J34" s="3"/>
      <c r="K34" s="53"/>
    </row>
    <row r="35" spans="1:11" x14ac:dyDescent="0.3">
      <c r="A35" s="53"/>
      <c r="B35" s="53"/>
      <c r="C35" s="3" t="s">
        <v>74</v>
      </c>
      <c r="D35" s="3" t="s">
        <v>75</v>
      </c>
      <c r="E35" s="3" t="s">
        <v>78</v>
      </c>
      <c r="F35" s="32">
        <v>1</v>
      </c>
      <c r="G35" s="3">
        <v>3</v>
      </c>
      <c r="H35" s="3"/>
      <c r="I35" s="3"/>
      <c r="J35" s="3"/>
      <c r="K35" s="53"/>
    </row>
    <row r="36" spans="1:11" x14ac:dyDescent="0.3">
      <c r="A36" s="55">
        <v>11</v>
      </c>
      <c r="B36" s="52" t="s">
        <v>79</v>
      </c>
      <c r="C36" s="2" t="s">
        <v>74</v>
      </c>
      <c r="D36" s="2" t="s">
        <v>80</v>
      </c>
      <c r="E36" s="2" t="s">
        <v>81</v>
      </c>
      <c r="F36" s="32">
        <v>1</v>
      </c>
      <c r="G36" s="2">
        <v>1</v>
      </c>
      <c r="H36" s="2"/>
      <c r="I36" s="2"/>
      <c r="J36" s="2"/>
      <c r="K36" s="57">
        <f>AVERAGE($F$36:$F$38)</f>
        <v>1</v>
      </c>
    </row>
    <row r="37" spans="1:11" x14ac:dyDescent="0.3">
      <c r="A37" s="53"/>
      <c r="B37" s="53"/>
      <c r="C37" s="2" t="s">
        <v>74</v>
      </c>
      <c r="D37" s="2" t="s">
        <v>80</v>
      </c>
      <c r="E37" s="2" t="s">
        <v>82</v>
      </c>
      <c r="F37" s="32">
        <v>1</v>
      </c>
      <c r="G37" s="2">
        <v>3</v>
      </c>
      <c r="H37" s="2"/>
      <c r="I37" s="2"/>
      <c r="J37" s="2"/>
      <c r="K37" s="53"/>
    </row>
    <row r="38" spans="1:11" x14ac:dyDescent="0.3">
      <c r="A38" s="53"/>
      <c r="B38" s="53"/>
      <c r="C38" s="2" t="s">
        <v>74</v>
      </c>
      <c r="D38" s="2" t="s">
        <v>80</v>
      </c>
      <c r="E38" s="2" t="s">
        <v>83</v>
      </c>
      <c r="F38" s="32">
        <v>1</v>
      </c>
      <c r="G38" s="2">
        <v>4</v>
      </c>
      <c r="H38" s="2"/>
      <c r="I38" s="2"/>
      <c r="J38" s="2"/>
      <c r="K38" s="53"/>
    </row>
    <row r="39" spans="1:11" x14ac:dyDescent="0.3">
      <c r="A39" s="56">
        <v>12</v>
      </c>
      <c r="B39" s="54" t="s">
        <v>84</v>
      </c>
      <c r="C39" s="3" t="s">
        <v>85</v>
      </c>
      <c r="D39" s="3" t="s">
        <v>86</v>
      </c>
      <c r="E39" s="3" t="s">
        <v>87</v>
      </c>
      <c r="F39" s="32">
        <v>1</v>
      </c>
      <c r="G39" s="3">
        <v>2</v>
      </c>
      <c r="H39" s="3"/>
      <c r="I39" s="3"/>
      <c r="J39" s="3"/>
      <c r="K39" s="57">
        <f>AVERAGE($F$39:$F$41)</f>
        <v>1</v>
      </c>
    </row>
    <row r="40" spans="1:11" x14ac:dyDescent="0.3">
      <c r="A40" s="53"/>
      <c r="B40" s="53"/>
      <c r="C40" s="3" t="s">
        <v>85</v>
      </c>
      <c r="D40" s="3" t="s">
        <v>86</v>
      </c>
      <c r="E40" s="3" t="s">
        <v>86</v>
      </c>
      <c r="F40" s="32">
        <v>1</v>
      </c>
      <c r="G40" s="3">
        <v>3</v>
      </c>
      <c r="H40" s="3"/>
      <c r="I40" s="3"/>
      <c r="J40" s="3"/>
      <c r="K40" s="53"/>
    </row>
    <row r="41" spans="1:11" x14ac:dyDescent="0.3">
      <c r="A41" s="53"/>
      <c r="B41" s="53"/>
      <c r="C41" s="3" t="s">
        <v>85</v>
      </c>
      <c r="D41" s="3" t="s">
        <v>86</v>
      </c>
      <c r="E41" s="3" t="s">
        <v>88</v>
      </c>
      <c r="F41" s="32">
        <v>1</v>
      </c>
      <c r="G41" s="3">
        <v>3</v>
      </c>
      <c r="H41" s="3"/>
      <c r="I41" s="3"/>
      <c r="J41" s="3"/>
      <c r="K41" s="53"/>
    </row>
    <row r="42" spans="1:11" x14ac:dyDescent="0.3">
      <c r="A42" s="55">
        <v>13</v>
      </c>
      <c r="B42" s="52" t="s">
        <v>89</v>
      </c>
      <c r="C42" s="2" t="s">
        <v>85</v>
      </c>
      <c r="D42" s="2" t="s">
        <v>90</v>
      </c>
      <c r="E42" s="2" t="s">
        <v>91</v>
      </c>
      <c r="F42" s="32">
        <v>1</v>
      </c>
      <c r="G42" s="2">
        <v>2</v>
      </c>
      <c r="H42" s="2"/>
      <c r="I42" s="2"/>
      <c r="J42" s="2"/>
      <c r="K42" s="57">
        <f>AVERAGE($F$42:$F$44)</f>
        <v>1</v>
      </c>
    </row>
    <row r="43" spans="1:11" x14ac:dyDescent="0.3">
      <c r="A43" s="53"/>
      <c r="B43" s="53"/>
      <c r="C43" s="2" t="s">
        <v>85</v>
      </c>
      <c r="D43" s="2" t="s">
        <v>90</v>
      </c>
      <c r="E43" s="2" t="s">
        <v>92</v>
      </c>
      <c r="F43" s="32">
        <v>1</v>
      </c>
      <c r="G43" s="2">
        <v>3</v>
      </c>
      <c r="H43" s="2"/>
      <c r="I43" s="2"/>
      <c r="J43" s="2"/>
      <c r="K43" s="53"/>
    </row>
    <row r="44" spans="1:11" x14ac:dyDescent="0.3">
      <c r="A44" s="53"/>
      <c r="B44" s="53"/>
      <c r="C44" s="2" t="s">
        <v>85</v>
      </c>
      <c r="D44" s="2" t="s">
        <v>90</v>
      </c>
      <c r="E44" s="2" t="s">
        <v>93</v>
      </c>
      <c r="F44" s="32">
        <v>1</v>
      </c>
      <c r="G44" s="2">
        <v>3</v>
      </c>
      <c r="H44" s="2"/>
      <c r="I44" s="2"/>
      <c r="J44" s="2"/>
      <c r="K44" s="53"/>
    </row>
    <row r="45" spans="1:11" x14ac:dyDescent="0.3">
      <c r="A45" s="56">
        <v>14</v>
      </c>
      <c r="B45" s="54" t="s">
        <v>94</v>
      </c>
      <c r="C45" s="3" t="s">
        <v>85</v>
      </c>
      <c r="D45" s="3" t="s">
        <v>95</v>
      </c>
      <c r="E45" s="3" t="s">
        <v>96</v>
      </c>
      <c r="F45" s="32">
        <v>1</v>
      </c>
      <c r="G45" s="3">
        <v>2</v>
      </c>
      <c r="H45" s="3"/>
      <c r="I45" s="3"/>
      <c r="J45" s="3"/>
      <c r="K45" s="57">
        <f>AVERAGE($F$45:$F$47)</f>
        <v>1</v>
      </c>
    </row>
    <row r="46" spans="1:11" x14ac:dyDescent="0.3">
      <c r="A46" s="53"/>
      <c r="B46" s="53"/>
      <c r="C46" s="3" t="s">
        <v>85</v>
      </c>
      <c r="D46" s="3" t="s">
        <v>95</v>
      </c>
      <c r="E46" s="3" t="s">
        <v>97</v>
      </c>
      <c r="F46" s="32">
        <v>1</v>
      </c>
      <c r="G46" s="3">
        <v>3</v>
      </c>
      <c r="H46" s="3"/>
      <c r="I46" s="3"/>
      <c r="J46" s="3"/>
      <c r="K46" s="53"/>
    </row>
    <row r="47" spans="1:11" x14ac:dyDescent="0.3">
      <c r="A47" s="53"/>
      <c r="B47" s="53"/>
      <c r="C47" s="3" t="s">
        <v>85</v>
      </c>
      <c r="D47" s="3" t="s">
        <v>95</v>
      </c>
      <c r="E47" s="3" t="s">
        <v>98</v>
      </c>
      <c r="F47" s="32">
        <v>1</v>
      </c>
      <c r="G47" s="3">
        <v>3</v>
      </c>
      <c r="H47" s="3"/>
      <c r="I47" s="3"/>
      <c r="J47" s="3"/>
      <c r="K47" s="53"/>
    </row>
    <row r="48" spans="1:11" x14ac:dyDescent="0.3">
      <c r="A48" s="55">
        <v>15</v>
      </c>
      <c r="B48" s="52" t="s">
        <v>99</v>
      </c>
      <c r="C48" s="2" t="s">
        <v>100</v>
      </c>
      <c r="D48" s="2" t="s">
        <v>101</v>
      </c>
      <c r="E48" s="2" t="s">
        <v>102</v>
      </c>
      <c r="F48" s="32">
        <v>1</v>
      </c>
      <c r="G48" s="2">
        <v>1.5</v>
      </c>
      <c r="H48" s="2"/>
      <c r="I48" s="2"/>
      <c r="J48" s="2"/>
      <c r="K48" s="57">
        <f>AVERAGE($F$48:$F$50)</f>
        <v>0.75</v>
      </c>
    </row>
    <row r="49" spans="1:11" x14ac:dyDescent="0.3">
      <c r="A49" s="53"/>
      <c r="B49" s="53"/>
      <c r="C49" s="2" t="s">
        <v>100</v>
      </c>
      <c r="D49" s="2" t="s">
        <v>101</v>
      </c>
      <c r="E49" s="2" t="s">
        <v>103</v>
      </c>
      <c r="F49" s="32">
        <v>0.75</v>
      </c>
      <c r="G49" s="2">
        <v>3</v>
      </c>
      <c r="H49" s="2"/>
      <c r="I49" s="2"/>
      <c r="J49" s="2" t="s">
        <v>690</v>
      </c>
      <c r="K49" s="53"/>
    </row>
    <row r="50" spans="1:11" x14ac:dyDescent="0.3">
      <c r="A50" s="53"/>
      <c r="B50" s="53"/>
      <c r="C50" s="2" t="s">
        <v>100</v>
      </c>
      <c r="D50" s="2" t="s">
        <v>101</v>
      </c>
      <c r="E50" s="2" t="s">
        <v>104</v>
      </c>
      <c r="F50" s="32">
        <v>0.5</v>
      </c>
      <c r="G50" s="2">
        <v>3.5</v>
      </c>
      <c r="H50" s="2"/>
      <c r="I50" s="2"/>
      <c r="J50" s="2" t="s">
        <v>689</v>
      </c>
      <c r="K50" s="53"/>
    </row>
    <row r="51" spans="1:11" x14ac:dyDescent="0.3">
      <c r="A51" s="56">
        <v>16</v>
      </c>
      <c r="B51" s="54" t="s">
        <v>105</v>
      </c>
      <c r="C51" s="3" t="s">
        <v>100</v>
      </c>
      <c r="D51" s="3" t="s">
        <v>106</v>
      </c>
      <c r="E51" s="3" t="s">
        <v>107</v>
      </c>
      <c r="F51" s="32">
        <v>1</v>
      </c>
      <c r="G51" s="3">
        <v>2.5</v>
      </c>
      <c r="H51" s="3"/>
      <c r="I51" s="3"/>
      <c r="J51" s="3" t="s">
        <v>108</v>
      </c>
      <c r="K51" s="57">
        <f>AVERAGE($F$51:$F$53)</f>
        <v>1</v>
      </c>
    </row>
    <row r="52" spans="1:11" x14ac:dyDescent="0.3">
      <c r="A52" s="53"/>
      <c r="B52" s="53"/>
      <c r="C52" s="3" t="s">
        <v>100</v>
      </c>
      <c r="D52" s="3" t="s">
        <v>106</v>
      </c>
      <c r="E52" s="3" t="s">
        <v>109</v>
      </c>
      <c r="F52" s="32">
        <v>1</v>
      </c>
      <c r="G52" s="3">
        <v>2.5</v>
      </c>
      <c r="H52" s="3"/>
      <c r="I52" s="3"/>
      <c r="J52" s="3"/>
      <c r="K52" s="53"/>
    </row>
    <row r="53" spans="1:11" x14ac:dyDescent="0.3">
      <c r="A53" s="53"/>
      <c r="B53" s="53"/>
      <c r="C53" s="3" t="s">
        <v>100</v>
      </c>
      <c r="D53" s="3" t="s">
        <v>106</v>
      </c>
      <c r="E53" s="3" t="s">
        <v>110</v>
      </c>
      <c r="F53" s="32">
        <v>1</v>
      </c>
      <c r="G53" s="3">
        <v>2.5</v>
      </c>
      <c r="H53" s="3"/>
      <c r="I53" s="3"/>
      <c r="J53" s="3"/>
      <c r="K53" s="53"/>
    </row>
    <row r="54" spans="1:11" x14ac:dyDescent="0.3">
      <c r="A54" s="55">
        <v>17</v>
      </c>
      <c r="B54" s="52" t="s">
        <v>111</v>
      </c>
      <c r="C54" s="2" t="s">
        <v>100</v>
      </c>
      <c r="D54" s="2" t="s">
        <v>106</v>
      </c>
      <c r="E54" s="2" t="s">
        <v>112</v>
      </c>
      <c r="F54" s="32">
        <v>1</v>
      </c>
      <c r="G54" s="2">
        <v>2.5</v>
      </c>
      <c r="H54" s="2"/>
      <c r="I54" s="2"/>
      <c r="J54" s="2"/>
      <c r="K54" s="57">
        <f>AVERAGE($F$54:$F$56)</f>
        <v>1</v>
      </c>
    </row>
    <row r="55" spans="1:11" x14ac:dyDescent="0.3">
      <c r="A55" s="53"/>
      <c r="B55" s="53"/>
      <c r="C55" s="2" t="s">
        <v>113</v>
      </c>
      <c r="D55" s="2" t="s">
        <v>114</v>
      </c>
      <c r="E55" s="2" t="s">
        <v>115</v>
      </c>
      <c r="F55" s="32">
        <v>1</v>
      </c>
      <c r="G55" s="2">
        <v>2</v>
      </c>
      <c r="H55" s="2"/>
      <c r="I55" s="2"/>
      <c r="J55" s="2"/>
      <c r="K55" s="53"/>
    </row>
    <row r="56" spans="1:11" x14ac:dyDescent="0.3">
      <c r="A56" s="53"/>
      <c r="B56" s="53"/>
      <c r="C56" s="2" t="s">
        <v>113</v>
      </c>
      <c r="D56" s="2" t="s">
        <v>114</v>
      </c>
      <c r="E56" s="2" t="s">
        <v>116</v>
      </c>
      <c r="F56" s="32">
        <v>1</v>
      </c>
      <c r="G56" s="2">
        <v>3.5</v>
      </c>
      <c r="H56" s="2"/>
      <c r="I56" s="2"/>
      <c r="J56" s="2"/>
      <c r="K56" s="53"/>
    </row>
    <row r="57" spans="1:11" x14ac:dyDescent="0.3">
      <c r="A57" s="56">
        <v>18</v>
      </c>
      <c r="B57" s="54" t="s">
        <v>117</v>
      </c>
      <c r="C57" s="3" t="s">
        <v>118</v>
      </c>
      <c r="D57" s="3" t="s">
        <v>119</v>
      </c>
      <c r="E57" s="3" t="s">
        <v>120</v>
      </c>
      <c r="F57" s="32">
        <v>1</v>
      </c>
      <c r="G57" s="3">
        <v>1.5</v>
      </c>
      <c r="H57" s="3"/>
      <c r="I57" s="3"/>
      <c r="J57" s="3"/>
      <c r="K57" s="57">
        <f>AVERAGE($F$57:$F$59)</f>
        <v>1</v>
      </c>
    </row>
    <row r="58" spans="1:11" x14ac:dyDescent="0.3">
      <c r="A58" s="53"/>
      <c r="B58" s="53"/>
      <c r="C58" s="3" t="s">
        <v>118</v>
      </c>
      <c r="D58" s="3" t="s">
        <v>119</v>
      </c>
      <c r="E58" s="3" t="s">
        <v>121</v>
      </c>
      <c r="F58" s="32">
        <v>1</v>
      </c>
      <c r="G58" s="3">
        <v>3</v>
      </c>
      <c r="H58" s="3"/>
      <c r="I58" s="3"/>
      <c r="J58" s="3"/>
      <c r="K58" s="53"/>
    </row>
    <row r="59" spans="1:11" x14ac:dyDescent="0.3">
      <c r="A59" s="53"/>
      <c r="B59" s="53"/>
      <c r="C59" s="3" t="s">
        <v>118</v>
      </c>
      <c r="D59" s="3" t="s">
        <v>119</v>
      </c>
      <c r="E59" s="3" t="s">
        <v>122</v>
      </c>
      <c r="F59" s="32">
        <v>1</v>
      </c>
      <c r="G59" s="3">
        <v>3.5</v>
      </c>
      <c r="H59" s="3"/>
      <c r="I59" s="3"/>
      <c r="J59" s="3"/>
      <c r="K59" s="53"/>
    </row>
    <row r="60" spans="1:11" x14ac:dyDescent="0.3">
      <c r="A60" s="55">
        <v>19</v>
      </c>
      <c r="B60" s="52" t="s">
        <v>123</v>
      </c>
      <c r="C60" s="2" t="s">
        <v>118</v>
      </c>
      <c r="D60" s="2" t="s">
        <v>124</v>
      </c>
      <c r="E60" s="2" t="s">
        <v>125</v>
      </c>
      <c r="F60" s="32">
        <v>1</v>
      </c>
      <c r="G60" s="2">
        <v>3</v>
      </c>
      <c r="H60" s="2"/>
      <c r="I60" s="2"/>
      <c r="J60" s="2"/>
      <c r="K60" s="57">
        <f>AVERAGE($F$60:$F$62)</f>
        <v>1</v>
      </c>
    </row>
    <row r="61" spans="1:11" x14ac:dyDescent="0.3">
      <c r="A61" s="53"/>
      <c r="B61" s="53"/>
      <c r="C61" s="2" t="s">
        <v>118</v>
      </c>
      <c r="D61" s="2" t="s">
        <v>124</v>
      </c>
      <c r="E61" s="2" t="s">
        <v>126</v>
      </c>
      <c r="F61" s="32">
        <v>1</v>
      </c>
      <c r="G61" s="2">
        <v>2.5</v>
      </c>
      <c r="H61" s="2"/>
      <c r="I61" s="2"/>
      <c r="J61" s="2" t="s">
        <v>127</v>
      </c>
      <c r="K61" s="53"/>
    </row>
    <row r="62" spans="1:11" x14ac:dyDescent="0.3">
      <c r="A62" s="53"/>
      <c r="B62" s="53"/>
      <c r="C62" s="2" t="s">
        <v>118</v>
      </c>
      <c r="D62" s="2" t="s">
        <v>124</v>
      </c>
      <c r="E62" s="2" t="s">
        <v>128</v>
      </c>
      <c r="F62" s="32">
        <v>1</v>
      </c>
      <c r="G62" s="2">
        <v>2.5</v>
      </c>
      <c r="H62" s="2"/>
      <c r="I62" s="2"/>
      <c r="J62" s="2" t="s">
        <v>16</v>
      </c>
      <c r="K62" s="53"/>
    </row>
    <row r="63" spans="1:11" x14ac:dyDescent="0.3">
      <c r="A63" s="56">
        <v>20</v>
      </c>
      <c r="B63" s="54" t="s">
        <v>129</v>
      </c>
      <c r="C63" s="3" t="s">
        <v>130</v>
      </c>
      <c r="D63" s="3" t="s">
        <v>131</v>
      </c>
      <c r="E63" s="3" t="s">
        <v>132</v>
      </c>
      <c r="F63" s="33">
        <v>1</v>
      </c>
      <c r="G63" s="3">
        <v>3</v>
      </c>
      <c r="H63" s="3"/>
      <c r="I63" s="3"/>
      <c r="J63" s="3"/>
      <c r="K63" s="59">
        <f>AVERAGE($F$63:$F$65)</f>
        <v>1</v>
      </c>
    </row>
    <row r="64" spans="1:11" x14ac:dyDescent="0.3">
      <c r="A64" s="53"/>
      <c r="B64" s="53"/>
      <c r="C64" s="3" t="s">
        <v>130</v>
      </c>
      <c r="D64" s="3" t="s">
        <v>131</v>
      </c>
      <c r="E64" s="3" t="s">
        <v>133</v>
      </c>
      <c r="F64" s="34">
        <v>1</v>
      </c>
      <c r="G64" s="3">
        <v>3</v>
      </c>
      <c r="H64" s="3"/>
      <c r="I64" s="3"/>
      <c r="J64" s="3" t="s">
        <v>691</v>
      </c>
      <c r="K64" s="53"/>
    </row>
    <row r="65" spans="1:12" x14ac:dyDescent="0.3">
      <c r="A65" s="53"/>
      <c r="B65" s="53"/>
      <c r="C65" s="3" t="s">
        <v>130</v>
      </c>
      <c r="D65" s="3" t="s">
        <v>131</v>
      </c>
      <c r="E65" s="3" t="s">
        <v>134</v>
      </c>
      <c r="F65" s="34">
        <v>1</v>
      </c>
      <c r="G65" s="3">
        <v>2</v>
      </c>
      <c r="H65" s="3"/>
      <c r="I65" s="3"/>
      <c r="J65" s="3" t="s">
        <v>692</v>
      </c>
      <c r="K65" s="53"/>
    </row>
    <row r="66" spans="1:12" x14ac:dyDescent="0.3">
      <c r="A66" s="55">
        <v>21</v>
      </c>
      <c r="B66" s="52" t="s">
        <v>135</v>
      </c>
      <c r="C66" s="2" t="s">
        <v>130</v>
      </c>
      <c r="D66" s="2" t="s">
        <v>136</v>
      </c>
      <c r="E66" s="2" t="s">
        <v>137</v>
      </c>
      <c r="F66" s="32">
        <v>1</v>
      </c>
      <c r="G66" s="2">
        <v>2</v>
      </c>
      <c r="H66" s="2"/>
      <c r="I66" s="2"/>
      <c r="J66" s="2"/>
      <c r="K66" s="57">
        <f>AVERAGE($F$66:$F$68)</f>
        <v>1</v>
      </c>
    </row>
    <row r="67" spans="1:12" x14ac:dyDescent="0.3">
      <c r="A67" s="53"/>
      <c r="B67" s="53"/>
      <c r="C67" s="2" t="s">
        <v>130</v>
      </c>
      <c r="D67" s="2" t="s">
        <v>136</v>
      </c>
      <c r="E67" s="2" t="s">
        <v>138</v>
      </c>
      <c r="F67" s="32">
        <v>1</v>
      </c>
      <c r="G67" s="2">
        <v>3</v>
      </c>
      <c r="H67" s="2"/>
      <c r="I67" s="2"/>
      <c r="J67" s="2"/>
      <c r="K67" s="53"/>
    </row>
    <row r="68" spans="1:12" x14ac:dyDescent="0.3">
      <c r="A68" s="53"/>
      <c r="B68" s="53"/>
      <c r="C68" s="2" t="s">
        <v>130</v>
      </c>
      <c r="D68" s="2" t="s">
        <v>136</v>
      </c>
      <c r="E68" s="2" t="s">
        <v>139</v>
      </c>
      <c r="F68" s="32">
        <v>1</v>
      </c>
      <c r="G68" s="2">
        <v>3</v>
      </c>
      <c r="H68" s="2"/>
      <c r="I68" s="2"/>
      <c r="J68" s="2"/>
      <c r="K68" s="53"/>
    </row>
    <row r="69" spans="1:12" x14ac:dyDescent="0.3">
      <c r="A69" s="56">
        <v>22</v>
      </c>
      <c r="B69" s="54" t="s">
        <v>140</v>
      </c>
      <c r="C69" s="3" t="s">
        <v>141</v>
      </c>
      <c r="D69" s="3" t="s">
        <v>142</v>
      </c>
      <c r="E69" s="3" t="s">
        <v>143</v>
      </c>
      <c r="F69" s="33">
        <v>1</v>
      </c>
      <c r="G69" s="3">
        <v>2</v>
      </c>
      <c r="H69" s="3"/>
      <c r="I69" s="3"/>
      <c r="J69" s="3" t="s">
        <v>693</v>
      </c>
      <c r="K69" s="59">
        <f>AVERAGE($F$69:$F$71)</f>
        <v>0.66666666666666663</v>
      </c>
    </row>
    <row r="70" spans="1:12" x14ac:dyDescent="0.3">
      <c r="A70" s="53"/>
      <c r="B70" s="53"/>
      <c r="C70" s="3" t="s">
        <v>141</v>
      </c>
      <c r="D70" s="3" t="s">
        <v>142</v>
      </c>
      <c r="E70" s="3" t="s">
        <v>144</v>
      </c>
      <c r="F70" s="33">
        <v>1</v>
      </c>
      <c r="G70" s="3">
        <v>3</v>
      </c>
      <c r="H70" s="3"/>
      <c r="I70" s="3"/>
      <c r="J70" s="3"/>
      <c r="K70" s="53"/>
    </row>
    <row r="71" spans="1:12" x14ac:dyDescent="0.3">
      <c r="A71" s="53"/>
      <c r="B71" s="53"/>
      <c r="C71" s="3" t="s">
        <v>141</v>
      </c>
      <c r="D71" s="3" t="s">
        <v>142</v>
      </c>
      <c r="E71" s="3" t="s">
        <v>145</v>
      </c>
      <c r="F71" s="34">
        <v>0</v>
      </c>
      <c r="G71" s="3">
        <v>3</v>
      </c>
      <c r="H71" s="3"/>
      <c r="I71" s="3"/>
      <c r="J71" s="3" t="s">
        <v>695</v>
      </c>
      <c r="K71" s="53"/>
      <c r="L71" s="45"/>
    </row>
    <row r="72" spans="1:12" x14ac:dyDescent="0.3">
      <c r="A72" s="55">
        <v>23</v>
      </c>
      <c r="B72" s="52" t="s">
        <v>146</v>
      </c>
      <c r="C72" s="2" t="s">
        <v>141</v>
      </c>
      <c r="D72" s="2" t="s">
        <v>147</v>
      </c>
      <c r="E72" s="2" t="s">
        <v>148</v>
      </c>
      <c r="F72" s="33">
        <v>1</v>
      </c>
      <c r="G72" s="2">
        <v>3</v>
      </c>
      <c r="H72" s="2"/>
      <c r="I72" s="2"/>
      <c r="J72" s="2"/>
      <c r="K72" s="59">
        <f>AVERAGE($F$72:$F$74)</f>
        <v>1</v>
      </c>
    </row>
    <row r="73" spans="1:12" x14ac:dyDescent="0.3">
      <c r="A73" s="53"/>
      <c r="B73" s="53"/>
      <c r="C73" s="2" t="s">
        <v>141</v>
      </c>
      <c r="D73" s="2" t="s">
        <v>147</v>
      </c>
      <c r="E73" s="2" t="s">
        <v>149</v>
      </c>
      <c r="F73" s="34">
        <v>1</v>
      </c>
      <c r="G73" s="2">
        <v>2.5</v>
      </c>
      <c r="H73" s="2"/>
      <c r="I73" s="2"/>
      <c r="J73" s="2"/>
      <c r="K73" s="53"/>
    </row>
    <row r="74" spans="1:12" x14ac:dyDescent="0.3">
      <c r="A74" s="53"/>
      <c r="B74" s="53"/>
      <c r="C74" s="2" t="s">
        <v>141</v>
      </c>
      <c r="D74" s="2" t="s">
        <v>147</v>
      </c>
      <c r="E74" s="2" t="s">
        <v>150</v>
      </c>
      <c r="F74" s="34">
        <v>1</v>
      </c>
      <c r="G74" s="2">
        <v>2.5</v>
      </c>
      <c r="H74" s="2">
        <v>3.5</v>
      </c>
      <c r="I74" s="2"/>
      <c r="J74" s="2"/>
      <c r="K74" s="53"/>
    </row>
    <row r="75" spans="1:12" x14ac:dyDescent="0.3">
      <c r="A75" s="56">
        <v>24</v>
      </c>
      <c r="B75" s="54" t="s">
        <v>151</v>
      </c>
      <c r="C75" s="3" t="s">
        <v>141</v>
      </c>
      <c r="D75" s="3" t="s">
        <v>152</v>
      </c>
      <c r="E75" s="3" t="s">
        <v>153</v>
      </c>
      <c r="F75" s="33">
        <v>1</v>
      </c>
      <c r="G75" s="3">
        <v>3</v>
      </c>
      <c r="H75" s="3"/>
      <c r="I75" s="3"/>
      <c r="J75" s="3"/>
      <c r="K75" s="59">
        <f>AVERAGE($F$75:$F$77)</f>
        <v>1</v>
      </c>
    </row>
    <row r="76" spans="1:12" x14ac:dyDescent="0.3">
      <c r="A76" s="53"/>
      <c r="B76" s="53"/>
      <c r="C76" s="3" t="s">
        <v>141</v>
      </c>
      <c r="D76" s="3" t="s">
        <v>152</v>
      </c>
      <c r="E76" s="3" t="s">
        <v>154</v>
      </c>
      <c r="F76" s="34">
        <v>1</v>
      </c>
      <c r="G76" s="3">
        <v>3</v>
      </c>
      <c r="H76" s="3"/>
      <c r="I76" s="3"/>
      <c r="J76" s="3"/>
      <c r="K76" s="53"/>
    </row>
    <row r="77" spans="1:12" x14ac:dyDescent="0.3">
      <c r="A77" s="53"/>
      <c r="B77" s="53"/>
      <c r="C77" s="3" t="s">
        <v>141</v>
      </c>
      <c r="D77" s="3" t="s">
        <v>152</v>
      </c>
      <c r="E77" s="3" t="s">
        <v>155</v>
      </c>
      <c r="F77" s="33">
        <v>1</v>
      </c>
      <c r="G77" s="3">
        <v>2</v>
      </c>
      <c r="H77" s="3"/>
      <c r="I77" s="3"/>
      <c r="J77" s="3" t="s">
        <v>694</v>
      </c>
      <c r="K77" s="53"/>
    </row>
    <row r="78" spans="1:12" x14ac:dyDescent="0.3">
      <c r="A78" s="55">
        <v>25</v>
      </c>
      <c r="B78" s="52" t="s">
        <v>156</v>
      </c>
      <c r="C78" s="2" t="s">
        <v>141</v>
      </c>
      <c r="D78" s="2" t="s">
        <v>157</v>
      </c>
      <c r="E78" s="2" t="s">
        <v>158</v>
      </c>
      <c r="F78" s="35">
        <v>0.5</v>
      </c>
      <c r="G78" s="2">
        <v>1.5</v>
      </c>
      <c r="H78" s="2"/>
      <c r="I78" s="2"/>
      <c r="J78" s="2"/>
      <c r="K78" s="58">
        <f>AVERAGE($F$78:$F$82)</f>
        <v>0.8</v>
      </c>
      <c r="L78" s="45"/>
    </row>
    <row r="79" spans="1:12" x14ac:dyDescent="0.3">
      <c r="A79" s="53"/>
      <c r="B79" s="53"/>
      <c r="C79" s="2" t="s">
        <v>141</v>
      </c>
      <c r="D79" s="2" t="s">
        <v>157</v>
      </c>
      <c r="E79" s="2" t="s">
        <v>159</v>
      </c>
      <c r="F79" s="35">
        <v>1</v>
      </c>
      <c r="G79" s="2">
        <v>2</v>
      </c>
      <c r="H79" s="2"/>
      <c r="I79" s="2"/>
      <c r="J79" s="2" t="s">
        <v>696</v>
      </c>
      <c r="K79" s="53"/>
    </row>
    <row r="80" spans="1:12" x14ac:dyDescent="0.3">
      <c r="A80" s="53"/>
      <c r="B80" s="53"/>
      <c r="C80" s="2" t="s">
        <v>141</v>
      </c>
      <c r="D80" s="2" t="s">
        <v>157</v>
      </c>
      <c r="E80" s="2" t="s">
        <v>160</v>
      </c>
      <c r="F80" s="35">
        <v>1</v>
      </c>
      <c r="G80" s="2">
        <v>2</v>
      </c>
      <c r="H80" s="2"/>
      <c r="I80" s="2"/>
      <c r="J80" s="2"/>
      <c r="K80" s="53"/>
    </row>
    <row r="81" spans="1:12" x14ac:dyDescent="0.3">
      <c r="A81" s="53"/>
      <c r="B81" s="53"/>
      <c r="C81" s="2" t="s">
        <v>141</v>
      </c>
      <c r="D81" s="2" t="s">
        <v>157</v>
      </c>
      <c r="E81" s="2" t="s">
        <v>161</v>
      </c>
      <c r="F81" s="35">
        <v>0.5</v>
      </c>
      <c r="G81" s="2">
        <v>2.5</v>
      </c>
      <c r="H81" s="2"/>
      <c r="I81" s="2"/>
      <c r="J81" s="2"/>
      <c r="K81" s="53"/>
      <c r="L81" s="45"/>
    </row>
    <row r="82" spans="1:12" x14ac:dyDescent="0.3">
      <c r="A82" s="53"/>
      <c r="B82" s="53"/>
      <c r="C82" s="2" t="s">
        <v>141</v>
      </c>
      <c r="D82" s="2" t="s">
        <v>157</v>
      </c>
      <c r="E82" s="2" t="s">
        <v>162</v>
      </c>
      <c r="F82" s="35">
        <v>1</v>
      </c>
      <c r="G82" s="2">
        <v>2</v>
      </c>
      <c r="H82" s="2"/>
      <c r="I82" s="2"/>
      <c r="J82" s="2" t="s">
        <v>700</v>
      </c>
      <c r="K82" s="53"/>
    </row>
    <row r="83" spans="1:12" x14ac:dyDescent="0.3">
      <c r="A83" s="56">
        <v>26</v>
      </c>
      <c r="B83" s="54" t="s">
        <v>163</v>
      </c>
      <c r="C83" s="3" t="s">
        <v>164</v>
      </c>
      <c r="D83" s="3" t="s">
        <v>165</v>
      </c>
      <c r="E83" s="3" t="s">
        <v>166</v>
      </c>
      <c r="F83" s="35">
        <v>0.3</v>
      </c>
      <c r="G83" s="3">
        <v>1.5</v>
      </c>
      <c r="H83" s="3"/>
      <c r="I83" s="3"/>
      <c r="J83" s="3"/>
      <c r="K83" s="58">
        <f>AVERAGE($F$83:$F$87)</f>
        <v>0.32</v>
      </c>
      <c r="L83" s="45"/>
    </row>
    <row r="84" spans="1:12" x14ac:dyDescent="0.3">
      <c r="A84" s="53"/>
      <c r="B84" s="53"/>
      <c r="C84" s="3" t="s">
        <v>164</v>
      </c>
      <c r="D84" s="3" t="s">
        <v>165</v>
      </c>
      <c r="E84" s="3" t="s">
        <v>167</v>
      </c>
      <c r="F84" s="35">
        <v>0.5</v>
      </c>
      <c r="G84" s="3">
        <v>2</v>
      </c>
      <c r="H84" s="3"/>
      <c r="I84" s="3"/>
      <c r="J84" s="3"/>
      <c r="K84" s="53"/>
      <c r="L84" s="45"/>
    </row>
    <row r="85" spans="1:12" x14ac:dyDescent="0.3">
      <c r="A85" s="53"/>
      <c r="B85" s="53"/>
      <c r="C85" s="3" t="s">
        <v>164</v>
      </c>
      <c r="D85" s="3" t="s">
        <v>165</v>
      </c>
      <c r="E85" s="3" t="s">
        <v>168</v>
      </c>
      <c r="F85" s="35">
        <v>0</v>
      </c>
      <c r="G85" s="3">
        <v>2.5</v>
      </c>
      <c r="H85" s="3"/>
      <c r="I85" s="3"/>
      <c r="J85" s="3"/>
      <c r="K85" s="53"/>
      <c r="L85" s="45"/>
    </row>
    <row r="86" spans="1:12" x14ac:dyDescent="0.3">
      <c r="A86" s="53"/>
      <c r="B86" s="53"/>
      <c r="C86" s="3" t="s">
        <v>164</v>
      </c>
      <c r="D86" s="3" t="s">
        <v>165</v>
      </c>
      <c r="E86" s="3" t="s">
        <v>169</v>
      </c>
      <c r="F86" s="35">
        <v>0.8</v>
      </c>
      <c r="G86" s="3">
        <v>2</v>
      </c>
      <c r="H86" s="3"/>
      <c r="I86" s="3"/>
      <c r="J86" s="3"/>
      <c r="K86" s="53"/>
      <c r="L86" s="45"/>
    </row>
    <row r="87" spans="1:12" x14ac:dyDescent="0.3">
      <c r="A87" s="53"/>
      <c r="B87" s="53"/>
      <c r="C87" s="3" t="s">
        <v>164</v>
      </c>
      <c r="D87" s="3" t="s">
        <v>165</v>
      </c>
      <c r="E87" s="3" t="s">
        <v>170</v>
      </c>
      <c r="F87" s="35">
        <v>0</v>
      </c>
      <c r="G87" s="3">
        <v>2</v>
      </c>
      <c r="H87" s="3"/>
      <c r="I87" s="3"/>
      <c r="J87" s="3"/>
      <c r="K87" s="53"/>
      <c r="L87" s="45"/>
    </row>
    <row r="88" spans="1:12" x14ac:dyDescent="0.3">
      <c r="A88" s="55">
        <v>27</v>
      </c>
      <c r="B88" s="52" t="s">
        <v>171</v>
      </c>
      <c r="C88" s="2" t="s">
        <v>141</v>
      </c>
      <c r="D88" s="2" t="s">
        <v>172</v>
      </c>
      <c r="E88" s="2" t="s">
        <v>173</v>
      </c>
      <c r="F88" s="35">
        <v>1</v>
      </c>
      <c r="G88" s="2">
        <v>1</v>
      </c>
      <c r="H88" s="2"/>
      <c r="I88" s="2"/>
      <c r="J88" s="2" t="s">
        <v>699</v>
      </c>
      <c r="K88" s="58">
        <f>AVERAGE($F$88:$F$92)</f>
        <v>0.6</v>
      </c>
      <c r="L88" s="45"/>
    </row>
    <row r="89" spans="1:12" x14ac:dyDescent="0.3">
      <c r="A89" s="53"/>
      <c r="B89" s="53"/>
      <c r="C89" s="2" t="s">
        <v>141</v>
      </c>
      <c r="D89" s="2" t="s">
        <v>172</v>
      </c>
      <c r="E89" s="2" t="s">
        <v>174</v>
      </c>
      <c r="F89" s="35">
        <v>1</v>
      </c>
      <c r="G89" s="2">
        <v>2.5</v>
      </c>
      <c r="H89" s="2"/>
      <c r="I89" s="2"/>
      <c r="J89" s="2" t="s">
        <v>697</v>
      </c>
      <c r="K89" s="53"/>
      <c r="L89" s="45"/>
    </row>
    <row r="90" spans="1:12" x14ac:dyDescent="0.3">
      <c r="A90" s="53"/>
      <c r="B90" s="53"/>
      <c r="C90" s="2" t="s">
        <v>141</v>
      </c>
      <c r="D90" s="2" t="s">
        <v>172</v>
      </c>
      <c r="E90" s="2" t="s">
        <v>175</v>
      </c>
      <c r="F90" s="35">
        <v>1</v>
      </c>
      <c r="G90" s="2">
        <v>2</v>
      </c>
      <c r="H90" s="2"/>
      <c r="I90" s="2"/>
      <c r="J90" s="2" t="s">
        <v>698</v>
      </c>
      <c r="K90" s="53"/>
      <c r="L90" s="45"/>
    </row>
    <row r="91" spans="1:12" x14ac:dyDescent="0.3">
      <c r="A91" s="53"/>
      <c r="B91" s="53"/>
      <c r="C91" s="2" t="s">
        <v>141</v>
      </c>
      <c r="D91" s="2" t="s">
        <v>172</v>
      </c>
      <c r="E91" s="2" t="s">
        <v>176</v>
      </c>
      <c r="F91" s="35">
        <v>0</v>
      </c>
      <c r="G91" s="2">
        <v>2.5</v>
      </c>
      <c r="H91" s="2"/>
      <c r="I91" s="2"/>
      <c r="J91" s="2"/>
      <c r="K91" s="53"/>
      <c r="L91" s="45"/>
    </row>
    <row r="92" spans="1:12" x14ac:dyDescent="0.3">
      <c r="A92" s="53"/>
      <c r="B92" s="53"/>
      <c r="C92" s="2" t="s">
        <v>141</v>
      </c>
      <c r="D92" s="2" t="s">
        <v>172</v>
      </c>
      <c r="E92" s="2" t="s">
        <v>74</v>
      </c>
      <c r="F92" s="35">
        <v>0</v>
      </c>
      <c r="G92" s="2">
        <v>2</v>
      </c>
      <c r="H92" s="2"/>
      <c r="I92" s="2"/>
      <c r="J92" s="2"/>
      <c r="K92" s="53"/>
      <c r="L92" s="45"/>
    </row>
    <row r="93" spans="1:12" x14ac:dyDescent="0.3">
      <c r="A93" s="56">
        <v>28</v>
      </c>
      <c r="B93" s="54" t="s">
        <v>177</v>
      </c>
      <c r="C93" s="3" t="s">
        <v>178</v>
      </c>
      <c r="D93" s="3" t="s">
        <v>179</v>
      </c>
      <c r="E93" s="3" t="s">
        <v>180</v>
      </c>
      <c r="F93" s="35">
        <v>1</v>
      </c>
      <c r="G93" s="3">
        <v>2</v>
      </c>
      <c r="H93" s="3"/>
      <c r="I93" s="3"/>
      <c r="J93" s="3"/>
      <c r="K93" s="58">
        <f>AVERAGE($F$93:$F$97)</f>
        <v>0.2</v>
      </c>
      <c r="L93" s="45"/>
    </row>
    <row r="94" spans="1:12" x14ac:dyDescent="0.3">
      <c r="A94" s="53"/>
      <c r="B94" s="53"/>
      <c r="C94" s="3" t="s">
        <v>178</v>
      </c>
      <c r="D94" s="3" t="s">
        <v>179</v>
      </c>
      <c r="E94" s="3" t="s">
        <v>181</v>
      </c>
      <c r="F94" s="35">
        <v>0</v>
      </c>
      <c r="G94" s="3">
        <v>3</v>
      </c>
      <c r="H94" s="3"/>
      <c r="I94" s="3"/>
      <c r="J94" s="3"/>
      <c r="K94" s="53"/>
      <c r="L94" s="45"/>
    </row>
    <row r="95" spans="1:12" x14ac:dyDescent="0.3">
      <c r="A95" s="53"/>
      <c r="B95" s="53"/>
      <c r="C95" s="3" t="s">
        <v>178</v>
      </c>
      <c r="D95" s="3" t="s">
        <v>179</v>
      </c>
      <c r="E95" s="3" t="s">
        <v>182</v>
      </c>
      <c r="F95" s="35">
        <v>0</v>
      </c>
      <c r="G95" s="3">
        <v>2</v>
      </c>
      <c r="H95" s="3"/>
      <c r="I95" s="3"/>
      <c r="J95" s="3"/>
      <c r="K95" s="53"/>
      <c r="L95" s="45"/>
    </row>
    <row r="96" spans="1:12" x14ac:dyDescent="0.3">
      <c r="A96" s="53"/>
      <c r="B96" s="53"/>
      <c r="C96" s="3" t="s">
        <v>178</v>
      </c>
      <c r="D96" s="3" t="s">
        <v>179</v>
      </c>
      <c r="E96" s="3" t="s">
        <v>183</v>
      </c>
      <c r="F96" s="35">
        <v>0</v>
      </c>
      <c r="G96" s="3">
        <v>2</v>
      </c>
      <c r="H96" s="3"/>
      <c r="I96" s="3"/>
      <c r="J96" s="3"/>
      <c r="K96" s="53"/>
      <c r="L96" s="45"/>
    </row>
    <row r="97" spans="1:12" x14ac:dyDescent="0.3">
      <c r="A97" s="53"/>
      <c r="B97" s="53"/>
      <c r="C97" s="3" t="s">
        <v>178</v>
      </c>
      <c r="D97" s="3" t="s">
        <v>179</v>
      </c>
      <c r="E97" s="3" t="s">
        <v>184</v>
      </c>
      <c r="F97" s="35">
        <v>0</v>
      </c>
      <c r="G97" s="3">
        <v>1</v>
      </c>
      <c r="H97" s="3"/>
      <c r="I97" s="3"/>
      <c r="J97" s="3"/>
      <c r="K97" s="53"/>
      <c r="L97" s="45"/>
    </row>
    <row r="98" spans="1:12" x14ac:dyDescent="0.3">
      <c r="A98" s="55">
        <v>29</v>
      </c>
      <c r="B98" s="52" t="s">
        <v>185</v>
      </c>
      <c r="C98" s="2" t="s">
        <v>178</v>
      </c>
      <c r="D98" s="2" t="s">
        <v>186</v>
      </c>
      <c r="E98" s="2" t="s">
        <v>187</v>
      </c>
      <c r="F98" s="35">
        <v>0</v>
      </c>
      <c r="G98" s="2">
        <v>2</v>
      </c>
      <c r="H98" s="2"/>
      <c r="I98" s="2"/>
      <c r="J98" s="2"/>
      <c r="K98" s="58">
        <f>AVERAGE($F$98:$F$102)</f>
        <v>0</v>
      </c>
      <c r="L98" s="45"/>
    </row>
    <row r="99" spans="1:12" x14ac:dyDescent="0.3">
      <c r="A99" s="53"/>
      <c r="B99" s="53"/>
      <c r="C99" s="2" t="s">
        <v>178</v>
      </c>
      <c r="D99" s="2" t="s">
        <v>186</v>
      </c>
      <c r="E99" s="2" t="s">
        <v>188</v>
      </c>
      <c r="F99" s="35">
        <v>0</v>
      </c>
      <c r="G99" s="2">
        <v>3</v>
      </c>
      <c r="H99" s="2"/>
      <c r="I99" s="2"/>
      <c r="J99" s="2"/>
      <c r="K99" s="53"/>
      <c r="L99" s="45"/>
    </row>
    <row r="100" spans="1:12" x14ac:dyDescent="0.3">
      <c r="A100" s="53"/>
      <c r="B100" s="53"/>
      <c r="C100" s="2" t="s">
        <v>178</v>
      </c>
      <c r="D100" s="2" t="s">
        <v>186</v>
      </c>
      <c r="E100" s="2" t="s">
        <v>189</v>
      </c>
      <c r="F100" s="35">
        <v>0</v>
      </c>
      <c r="G100" s="2">
        <v>2.5</v>
      </c>
      <c r="H100" s="2"/>
      <c r="I100" s="2"/>
      <c r="J100" s="2"/>
      <c r="K100" s="53"/>
      <c r="L100" s="45"/>
    </row>
    <row r="101" spans="1:12" x14ac:dyDescent="0.3">
      <c r="A101" s="53"/>
      <c r="B101" s="53"/>
      <c r="C101" s="2" t="s">
        <v>178</v>
      </c>
      <c r="D101" s="2" t="s">
        <v>186</v>
      </c>
      <c r="E101" s="2" t="s">
        <v>190</v>
      </c>
      <c r="F101" s="35">
        <v>0</v>
      </c>
      <c r="G101" s="2">
        <v>1.5</v>
      </c>
      <c r="H101" s="2"/>
      <c r="I101" s="2"/>
      <c r="J101" s="2"/>
      <c r="K101" s="53"/>
      <c r="L101" s="45"/>
    </row>
    <row r="102" spans="1:12" x14ac:dyDescent="0.3">
      <c r="A102" s="53"/>
      <c r="B102" s="53"/>
      <c r="C102" s="2" t="s">
        <v>178</v>
      </c>
      <c r="D102" s="2" t="s">
        <v>186</v>
      </c>
      <c r="E102" s="2" t="s">
        <v>191</v>
      </c>
      <c r="F102" s="35">
        <v>0</v>
      </c>
      <c r="G102" s="2">
        <v>1</v>
      </c>
      <c r="H102" s="2"/>
      <c r="I102" s="2"/>
      <c r="J102" s="2"/>
      <c r="K102" s="53"/>
      <c r="L102" s="45"/>
    </row>
    <row r="103" spans="1:12" x14ac:dyDescent="0.3">
      <c r="A103" s="56">
        <v>30</v>
      </c>
      <c r="B103" s="54" t="s">
        <v>192</v>
      </c>
      <c r="C103" s="3" t="s">
        <v>193</v>
      </c>
      <c r="D103" s="3" t="s">
        <v>194</v>
      </c>
      <c r="E103" s="3" t="s">
        <v>195</v>
      </c>
      <c r="F103" s="35">
        <v>0</v>
      </c>
      <c r="G103" s="3">
        <v>2</v>
      </c>
      <c r="H103" s="3"/>
      <c r="I103" s="3"/>
      <c r="J103" s="3" t="s">
        <v>196</v>
      </c>
      <c r="K103" s="58">
        <f>AVERAGE($F$103:$F$107)</f>
        <v>0</v>
      </c>
      <c r="L103" s="45"/>
    </row>
    <row r="104" spans="1:12" x14ac:dyDescent="0.3">
      <c r="A104" s="53"/>
      <c r="B104" s="53"/>
      <c r="C104" s="3" t="s">
        <v>193</v>
      </c>
      <c r="D104" s="3" t="s">
        <v>194</v>
      </c>
      <c r="E104" s="3" t="s">
        <v>197</v>
      </c>
      <c r="F104" s="35">
        <v>0</v>
      </c>
      <c r="G104" s="3">
        <v>2</v>
      </c>
      <c r="H104" s="3"/>
      <c r="I104" s="3"/>
      <c r="J104" s="3"/>
      <c r="K104" s="53"/>
      <c r="L104" s="45"/>
    </row>
    <row r="105" spans="1:12" x14ac:dyDescent="0.3">
      <c r="A105" s="53"/>
      <c r="B105" s="53"/>
      <c r="C105" s="3" t="s">
        <v>193</v>
      </c>
      <c r="D105" s="3" t="s">
        <v>194</v>
      </c>
      <c r="E105" s="3" t="s">
        <v>82</v>
      </c>
      <c r="F105" s="35">
        <v>0</v>
      </c>
      <c r="G105" s="3">
        <v>3</v>
      </c>
      <c r="H105" s="3"/>
      <c r="I105" s="3"/>
      <c r="J105" s="3"/>
      <c r="K105" s="53"/>
      <c r="L105" s="45"/>
    </row>
    <row r="106" spans="1:12" x14ac:dyDescent="0.3">
      <c r="A106" s="53"/>
      <c r="B106" s="53"/>
      <c r="C106" s="3" t="s">
        <v>193</v>
      </c>
      <c r="D106" s="3" t="s">
        <v>194</v>
      </c>
      <c r="E106" s="3" t="s">
        <v>83</v>
      </c>
      <c r="F106" s="35">
        <v>0</v>
      </c>
      <c r="G106" s="3">
        <v>2</v>
      </c>
      <c r="H106" s="3"/>
      <c r="I106" s="3"/>
      <c r="J106" s="3"/>
      <c r="K106" s="53"/>
      <c r="L106" s="45"/>
    </row>
    <row r="107" spans="1:12" x14ac:dyDescent="0.3">
      <c r="A107" s="53"/>
      <c r="B107" s="53"/>
      <c r="C107" s="3" t="s">
        <v>193</v>
      </c>
      <c r="D107" s="3" t="s">
        <v>194</v>
      </c>
      <c r="E107" s="3" t="s">
        <v>198</v>
      </c>
      <c r="F107" s="35">
        <v>0</v>
      </c>
      <c r="G107" s="3">
        <v>1</v>
      </c>
      <c r="H107" s="3"/>
      <c r="I107" s="3"/>
      <c r="J107" s="3"/>
      <c r="K107" s="53"/>
      <c r="L107" s="45"/>
    </row>
    <row r="108" spans="1:12" x14ac:dyDescent="0.3">
      <c r="A108" s="55">
        <v>31</v>
      </c>
      <c r="B108" s="52" t="s">
        <v>199</v>
      </c>
      <c r="C108" s="2" t="s">
        <v>200</v>
      </c>
      <c r="D108" s="2" t="s">
        <v>74</v>
      </c>
      <c r="E108" s="2" t="s">
        <v>201</v>
      </c>
      <c r="F108" s="35">
        <v>0</v>
      </c>
      <c r="G108" s="2">
        <v>3</v>
      </c>
      <c r="H108" s="2"/>
      <c r="I108" s="2"/>
      <c r="J108" s="2"/>
      <c r="K108" s="58">
        <f>AVERAGE($F$108:$F$110)</f>
        <v>0</v>
      </c>
      <c r="L108" s="45"/>
    </row>
    <row r="109" spans="1:12" x14ac:dyDescent="0.3">
      <c r="A109" s="53"/>
      <c r="B109" s="53"/>
      <c r="C109" s="2" t="s">
        <v>200</v>
      </c>
      <c r="D109" s="2" t="s">
        <v>74</v>
      </c>
      <c r="E109" s="2" t="s">
        <v>202</v>
      </c>
      <c r="F109" s="35">
        <v>0</v>
      </c>
      <c r="G109" s="2">
        <v>2.5</v>
      </c>
      <c r="H109" s="2"/>
      <c r="I109" s="2"/>
      <c r="J109" s="2"/>
      <c r="K109" s="53"/>
      <c r="L109" s="45"/>
    </row>
    <row r="110" spans="1:12" x14ac:dyDescent="0.3">
      <c r="A110" s="53"/>
      <c r="B110" s="53"/>
      <c r="C110" s="2" t="s">
        <v>200</v>
      </c>
      <c r="D110" s="2" t="s">
        <v>74</v>
      </c>
      <c r="E110" s="2" t="s">
        <v>203</v>
      </c>
      <c r="F110" s="35">
        <v>0</v>
      </c>
      <c r="G110" s="2">
        <v>2.5</v>
      </c>
      <c r="H110" s="2"/>
      <c r="I110" s="2"/>
      <c r="J110" s="2"/>
      <c r="K110" s="53"/>
      <c r="L110" s="45"/>
    </row>
    <row r="111" spans="1:12" x14ac:dyDescent="0.3">
      <c r="A111" s="56">
        <v>32</v>
      </c>
      <c r="B111" s="54" t="s">
        <v>204</v>
      </c>
      <c r="C111" s="3" t="s">
        <v>200</v>
      </c>
      <c r="D111" s="3" t="s">
        <v>74</v>
      </c>
      <c r="E111" s="3" t="s">
        <v>82</v>
      </c>
      <c r="F111" s="35">
        <v>0</v>
      </c>
      <c r="G111" s="3">
        <v>4</v>
      </c>
      <c r="H111" s="3"/>
      <c r="I111" s="3"/>
      <c r="J111" s="3"/>
      <c r="K111" s="58">
        <f>AVERAGE($F$111:$F$112)</f>
        <v>0</v>
      </c>
      <c r="L111" s="45"/>
    </row>
    <row r="112" spans="1:12" x14ac:dyDescent="0.3">
      <c r="A112" s="53"/>
      <c r="B112" s="53"/>
      <c r="C112" s="3" t="s">
        <v>200</v>
      </c>
      <c r="D112" s="3" t="s">
        <v>74</v>
      </c>
      <c r="E112" s="3" t="s">
        <v>205</v>
      </c>
      <c r="F112" s="35">
        <v>0</v>
      </c>
      <c r="G112" s="3">
        <v>4</v>
      </c>
      <c r="H112" s="3"/>
      <c r="I112" s="3"/>
      <c r="J112" s="3"/>
      <c r="K112" s="53"/>
      <c r="L112" s="45"/>
    </row>
    <row r="113" spans="1:11" x14ac:dyDescent="0.3">
      <c r="A113" s="55">
        <v>33</v>
      </c>
      <c r="B113" s="52" t="s">
        <v>206</v>
      </c>
      <c r="C113" s="2" t="s">
        <v>200</v>
      </c>
      <c r="D113" s="2" t="s">
        <v>207</v>
      </c>
      <c r="E113" s="2" t="s">
        <v>208</v>
      </c>
      <c r="F113" s="35">
        <v>0</v>
      </c>
      <c r="G113" s="2">
        <v>2</v>
      </c>
      <c r="H113" s="2"/>
      <c r="I113" s="2"/>
      <c r="J113" s="2"/>
      <c r="K113" s="58">
        <f>AVERAGE($F$113:$F$115)</f>
        <v>0</v>
      </c>
    </row>
    <row r="114" spans="1:11" x14ac:dyDescent="0.3">
      <c r="A114" s="53"/>
      <c r="B114" s="53"/>
      <c r="C114" s="2" t="s">
        <v>200</v>
      </c>
      <c r="D114" s="2" t="s">
        <v>207</v>
      </c>
      <c r="E114" s="2" t="s">
        <v>209</v>
      </c>
      <c r="F114" s="35">
        <v>0</v>
      </c>
      <c r="G114" s="2">
        <v>2.5</v>
      </c>
      <c r="H114" s="2"/>
      <c r="I114" s="2"/>
      <c r="J114" s="2"/>
      <c r="K114" s="53"/>
    </row>
    <row r="115" spans="1:11" x14ac:dyDescent="0.3">
      <c r="A115" s="53"/>
      <c r="B115" s="53"/>
      <c r="C115" s="2" t="s">
        <v>200</v>
      </c>
      <c r="D115" s="2" t="s">
        <v>207</v>
      </c>
      <c r="E115" s="2" t="s">
        <v>210</v>
      </c>
      <c r="F115" s="35">
        <v>0</v>
      </c>
      <c r="G115" s="2">
        <v>3.5</v>
      </c>
      <c r="H115" s="2"/>
      <c r="I115" s="2"/>
      <c r="J115" s="2"/>
      <c r="K115" s="53"/>
    </row>
    <row r="116" spans="1:11" x14ac:dyDescent="0.3">
      <c r="A116" s="56">
        <v>34</v>
      </c>
      <c r="B116" s="54" t="s">
        <v>211</v>
      </c>
      <c r="C116" s="3" t="s">
        <v>200</v>
      </c>
      <c r="D116" s="3" t="s">
        <v>207</v>
      </c>
      <c r="E116" s="3" t="s">
        <v>212</v>
      </c>
      <c r="F116" s="35">
        <v>0</v>
      </c>
      <c r="G116" s="3">
        <v>3</v>
      </c>
      <c r="H116" s="3"/>
      <c r="I116" s="3"/>
      <c r="J116" s="3"/>
      <c r="K116" s="58">
        <f>AVERAGE($F$116:$F$118)</f>
        <v>0</v>
      </c>
    </row>
    <row r="117" spans="1:11" x14ac:dyDescent="0.3">
      <c r="A117" s="53"/>
      <c r="B117" s="53"/>
      <c r="C117" s="3" t="s">
        <v>200</v>
      </c>
      <c r="D117" s="3" t="s">
        <v>207</v>
      </c>
      <c r="E117" s="3" t="s">
        <v>213</v>
      </c>
      <c r="F117" s="35">
        <v>0</v>
      </c>
      <c r="G117" s="3">
        <v>3</v>
      </c>
      <c r="H117" s="3"/>
      <c r="I117" s="3"/>
      <c r="J117" s="3"/>
      <c r="K117" s="53"/>
    </row>
    <row r="118" spans="1:11" x14ac:dyDescent="0.3">
      <c r="A118" s="53"/>
      <c r="B118" s="53"/>
      <c r="C118" s="3" t="s">
        <v>200</v>
      </c>
      <c r="D118" s="3" t="s">
        <v>207</v>
      </c>
      <c r="E118" s="3" t="s">
        <v>214</v>
      </c>
      <c r="F118" s="35">
        <v>0</v>
      </c>
      <c r="G118" s="3">
        <v>2</v>
      </c>
      <c r="H118" s="3"/>
      <c r="I118" s="3"/>
      <c r="J118" s="3"/>
      <c r="K118" s="53"/>
    </row>
    <row r="119" spans="1:11" x14ac:dyDescent="0.3">
      <c r="A119" s="55">
        <v>35</v>
      </c>
      <c r="B119" s="52" t="s">
        <v>215</v>
      </c>
      <c r="C119" s="2" t="s">
        <v>200</v>
      </c>
      <c r="D119" s="2" t="s">
        <v>207</v>
      </c>
      <c r="E119" s="2" t="s">
        <v>216</v>
      </c>
      <c r="F119" s="35">
        <v>0</v>
      </c>
      <c r="G119" s="2">
        <v>3</v>
      </c>
      <c r="H119" s="2"/>
      <c r="I119" s="2"/>
      <c r="J119" s="2"/>
      <c r="K119" s="58">
        <f>AVERAGE($F$119:$F$121)</f>
        <v>0</v>
      </c>
    </row>
    <row r="120" spans="1:11" x14ac:dyDescent="0.3">
      <c r="A120" s="53"/>
      <c r="B120" s="53"/>
      <c r="C120" s="2" t="s">
        <v>200</v>
      </c>
      <c r="D120" s="2" t="s">
        <v>207</v>
      </c>
      <c r="E120" s="2" t="s">
        <v>217</v>
      </c>
      <c r="F120" s="35">
        <v>0</v>
      </c>
      <c r="G120" s="2">
        <v>3</v>
      </c>
      <c r="H120" s="2"/>
      <c r="I120" s="2"/>
      <c r="J120" s="2"/>
      <c r="K120" s="53"/>
    </row>
    <row r="121" spans="1:11" x14ac:dyDescent="0.3">
      <c r="A121" s="53"/>
      <c r="B121" s="53"/>
      <c r="C121" s="2" t="s">
        <v>200</v>
      </c>
      <c r="D121" s="2" t="s">
        <v>207</v>
      </c>
      <c r="E121" s="2" t="s">
        <v>218</v>
      </c>
      <c r="F121" s="35">
        <v>0</v>
      </c>
      <c r="G121" s="2">
        <v>2</v>
      </c>
      <c r="H121" s="2"/>
      <c r="I121" s="2"/>
      <c r="J121" s="2"/>
      <c r="K121" s="53"/>
    </row>
    <row r="122" spans="1:11" x14ac:dyDescent="0.3">
      <c r="A122" s="56">
        <v>36</v>
      </c>
      <c r="B122" s="54" t="s">
        <v>219</v>
      </c>
      <c r="C122" s="3" t="s">
        <v>200</v>
      </c>
      <c r="D122" s="3" t="s">
        <v>220</v>
      </c>
      <c r="E122" s="3" t="s">
        <v>221</v>
      </c>
      <c r="F122" s="35">
        <v>0</v>
      </c>
      <c r="G122" s="3">
        <v>3</v>
      </c>
      <c r="H122" s="3"/>
      <c r="I122" s="3"/>
      <c r="J122" s="3"/>
      <c r="K122" s="58">
        <f>AVERAGE($F$122:$F$124)</f>
        <v>0</v>
      </c>
    </row>
    <row r="123" spans="1:11" x14ac:dyDescent="0.3">
      <c r="A123" s="53"/>
      <c r="B123" s="53"/>
      <c r="C123" s="3" t="s">
        <v>200</v>
      </c>
      <c r="D123" s="3" t="s">
        <v>220</v>
      </c>
      <c r="E123" s="3" t="s">
        <v>222</v>
      </c>
      <c r="F123" s="35">
        <v>0</v>
      </c>
      <c r="G123" s="3">
        <v>3</v>
      </c>
      <c r="H123" s="3"/>
      <c r="I123" s="3"/>
      <c r="J123" s="3"/>
      <c r="K123" s="53"/>
    </row>
    <row r="124" spans="1:11" x14ac:dyDescent="0.3">
      <c r="A124" s="53"/>
      <c r="B124" s="53"/>
      <c r="C124" s="3" t="s">
        <v>200</v>
      </c>
      <c r="D124" s="3" t="s">
        <v>220</v>
      </c>
      <c r="E124" s="3" t="s">
        <v>223</v>
      </c>
      <c r="F124" s="35">
        <v>0</v>
      </c>
      <c r="G124" s="3">
        <v>2</v>
      </c>
      <c r="H124" s="3"/>
      <c r="I124" s="3"/>
      <c r="J124" s="3"/>
      <c r="K124" s="53"/>
    </row>
    <row r="125" spans="1:11" x14ac:dyDescent="0.3">
      <c r="A125" s="55">
        <v>37</v>
      </c>
      <c r="B125" s="52" t="s">
        <v>224</v>
      </c>
      <c r="C125" s="2" t="s">
        <v>200</v>
      </c>
      <c r="D125" s="2" t="s">
        <v>220</v>
      </c>
      <c r="E125" s="2" t="s">
        <v>225</v>
      </c>
      <c r="F125" s="35">
        <v>0</v>
      </c>
      <c r="G125" s="2">
        <v>3</v>
      </c>
      <c r="H125" s="2"/>
      <c r="I125" s="2"/>
      <c r="J125" s="2"/>
      <c r="K125" s="58">
        <f>AVERAGE($F$125:$F$127)</f>
        <v>0</v>
      </c>
    </row>
    <row r="126" spans="1:11" x14ac:dyDescent="0.3">
      <c r="A126" s="53"/>
      <c r="B126" s="53"/>
      <c r="C126" s="2" t="s">
        <v>200</v>
      </c>
      <c r="D126" s="2" t="s">
        <v>220</v>
      </c>
      <c r="E126" s="2" t="s">
        <v>226</v>
      </c>
      <c r="F126" s="35">
        <v>0</v>
      </c>
      <c r="G126" s="2">
        <v>3</v>
      </c>
      <c r="H126" s="2"/>
      <c r="I126" s="2"/>
      <c r="J126" s="2"/>
      <c r="K126" s="53"/>
    </row>
    <row r="127" spans="1:11" x14ac:dyDescent="0.3">
      <c r="A127" s="53"/>
      <c r="B127" s="53"/>
      <c r="C127" s="2" t="s">
        <v>200</v>
      </c>
      <c r="D127" s="2" t="s">
        <v>220</v>
      </c>
      <c r="E127" s="2" t="s">
        <v>227</v>
      </c>
      <c r="F127" s="35">
        <v>0</v>
      </c>
      <c r="G127" s="2">
        <v>2</v>
      </c>
      <c r="H127" s="2"/>
      <c r="I127" s="2"/>
      <c r="J127" s="2"/>
      <c r="K127" s="53"/>
    </row>
    <row r="128" spans="1:11" x14ac:dyDescent="0.3">
      <c r="A128" s="56">
        <v>38</v>
      </c>
      <c r="B128" s="54" t="s">
        <v>228</v>
      </c>
      <c r="C128" s="3" t="s">
        <v>229</v>
      </c>
      <c r="D128" s="3" t="s">
        <v>230</v>
      </c>
      <c r="E128" s="3" t="s">
        <v>231</v>
      </c>
      <c r="F128" s="32">
        <v>0</v>
      </c>
      <c r="G128" s="3">
        <v>2</v>
      </c>
      <c r="H128" s="3"/>
      <c r="I128" s="3"/>
      <c r="J128" s="3"/>
      <c r="K128" s="57">
        <f>AVERAGE($F$128:$F$130)</f>
        <v>0</v>
      </c>
    </row>
    <row r="129" spans="1:11" x14ac:dyDescent="0.3">
      <c r="A129" s="53"/>
      <c r="B129" s="53"/>
      <c r="C129" s="3" t="s">
        <v>229</v>
      </c>
      <c r="D129" s="3" t="s">
        <v>230</v>
      </c>
      <c r="E129" s="3" t="s">
        <v>232</v>
      </c>
      <c r="F129" s="32">
        <v>0</v>
      </c>
      <c r="G129" s="3">
        <v>3</v>
      </c>
      <c r="H129" s="3"/>
      <c r="I129" s="3"/>
      <c r="J129" s="3"/>
      <c r="K129" s="53"/>
    </row>
    <row r="130" spans="1:11" x14ac:dyDescent="0.3">
      <c r="A130" s="53"/>
      <c r="B130" s="53"/>
      <c r="C130" s="3" t="s">
        <v>229</v>
      </c>
      <c r="D130" s="3" t="s">
        <v>230</v>
      </c>
      <c r="E130" s="3" t="s">
        <v>233</v>
      </c>
      <c r="F130" s="32">
        <v>0</v>
      </c>
      <c r="G130" s="3">
        <v>3</v>
      </c>
      <c r="H130" s="3"/>
      <c r="I130" s="3"/>
      <c r="J130" s="3"/>
      <c r="K130" s="53"/>
    </row>
    <row r="131" spans="1:11" x14ac:dyDescent="0.3">
      <c r="A131" s="55">
        <v>39</v>
      </c>
      <c r="B131" s="52" t="s">
        <v>234</v>
      </c>
      <c r="C131" s="2" t="s">
        <v>229</v>
      </c>
      <c r="D131" s="2" t="s">
        <v>235</v>
      </c>
      <c r="E131" s="2" t="s">
        <v>236</v>
      </c>
      <c r="F131" s="32">
        <v>0</v>
      </c>
      <c r="G131" s="2">
        <v>2</v>
      </c>
      <c r="H131" s="2"/>
      <c r="I131" s="2"/>
      <c r="J131" s="2"/>
      <c r="K131" s="57">
        <f>AVERAGE($F$131:$F$133)</f>
        <v>0</v>
      </c>
    </row>
    <row r="132" spans="1:11" x14ac:dyDescent="0.3">
      <c r="A132" s="53"/>
      <c r="B132" s="53"/>
      <c r="C132" s="2" t="s">
        <v>229</v>
      </c>
      <c r="D132" s="2" t="s">
        <v>235</v>
      </c>
      <c r="E132" s="2" t="s">
        <v>237</v>
      </c>
      <c r="F132" s="32">
        <v>0</v>
      </c>
      <c r="G132" s="2">
        <v>2</v>
      </c>
      <c r="H132" s="2"/>
      <c r="I132" s="2"/>
      <c r="J132" s="2"/>
      <c r="K132" s="53"/>
    </row>
    <row r="133" spans="1:11" x14ac:dyDescent="0.3">
      <c r="A133" s="53"/>
      <c r="B133" s="53"/>
      <c r="C133" s="2" t="s">
        <v>229</v>
      </c>
      <c r="D133" s="2" t="s">
        <v>235</v>
      </c>
      <c r="E133" s="2" t="s">
        <v>238</v>
      </c>
      <c r="F133" s="32">
        <v>0</v>
      </c>
      <c r="G133" s="2">
        <v>2</v>
      </c>
      <c r="H133" s="2"/>
      <c r="I133" s="2"/>
      <c r="J133" s="2"/>
      <c r="K133" s="53"/>
    </row>
    <row r="134" spans="1:11" x14ac:dyDescent="0.3">
      <c r="A134" s="56">
        <v>40</v>
      </c>
      <c r="B134" s="54" t="s">
        <v>239</v>
      </c>
      <c r="C134" s="3" t="s">
        <v>229</v>
      </c>
      <c r="D134" s="3" t="s">
        <v>235</v>
      </c>
      <c r="E134" s="3" t="s">
        <v>240</v>
      </c>
      <c r="F134" s="32">
        <v>0</v>
      </c>
      <c r="G134" s="3">
        <v>3</v>
      </c>
      <c r="H134" s="3"/>
      <c r="I134" s="3"/>
      <c r="J134" s="3"/>
      <c r="K134" s="57">
        <f>AVERAGE($F$134:$F$136)</f>
        <v>0</v>
      </c>
    </row>
    <row r="135" spans="1:11" x14ac:dyDescent="0.3">
      <c r="A135" s="53"/>
      <c r="B135" s="53"/>
      <c r="C135" s="3" t="s">
        <v>229</v>
      </c>
      <c r="D135" s="3" t="s">
        <v>235</v>
      </c>
      <c r="E135" s="3" t="s">
        <v>241</v>
      </c>
      <c r="F135" s="32">
        <v>0</v>
      </c>
      <c r="G135" s="3">
        <v>3</v>
      </c>
      <c r="H135" s="3"/>
      <c r="I135" s="3"/>
      <c r="J135" s="3"/>
      <c r="K135" s="53"/>
    </row>
    <row r="136" spans="1:11" x14ac:dyDescent="0.3">
      <c r="A136" s="53"/>
      <c r="B136" s="53"/>
      <c r="C136" s="3" t="s">
        <v>229</v>
      </c>
      <c r="D136" s="3" t="s">
        <v>235</v>
      </c>
      <c r="E136" s="3" t="s">
        <v>242</v>
      </c>
      <c r="F136" s="32">
        <v>0</v>
      </c>
      <c r="G136" s="3">
        <v>2</v>
      </c>
      <c r="H136" s="3"/>
      <c r="I136" s="3"/>
      <c r="J136" s="3"/>
      <c r="K136" s="53"/>
    </row>
    <row r="137" spans="1:11" x14ac:dyDescent="0.3">
      <c r="A137" s="55">
        <v>41</v>
      </c>
      <c r="B137" s="52" t="s">
        <v>243</v>
      </c>
      <c r="C137" s="2" t="s">
        <v>229</v>
      </c>
      <c r="D137" s="2" t="s">
        <v>244</v>
      </c>
      <c r="E137" s="2" t="s">
        <v>245</v>
      </c>
      <c r="F137" s="32">
        <v>0</v>
      </c>
      <c r="G137" s="2">
        <v>2.5</v>
      </c>
      <c r="H137" s="2"/>
      <c r="I137" s="2"/>
      <c r="J137" s="2"/>
      <c r="K137" s="57">
        <f>AVERAGE($F$137:$F$139)</f>
        <v>0</v>
      </c>
    </row>
    <row r="138" spans="1:11" x14ac:dyDescent="0.3">
      <c r="A138" s="53"/>
      <c r="B138" s="53"/>
      <c r="C138" s="2" t="s">
        <v>229</v>
      </c>
      <c r="D138" s="2" t="s">
        <v>244</v>
      </c>
      <c r="E138" s="2" t="s">
        <v>246</v>
      </c>
      <c r="F138" s="32">
        <v>0</v>
      </c>
      <c r="G138" s="2">
        <v>3</v>
      </c>
      <c r="H138" s="2"/>
      <c r="I138" s="2"/>
      <c r="J138" s="2"/>
      <c r="K138" s="53"/>
    </row>
    <row r="139" spans="1:11" x14ac:dyDescent="0.3">
      <c r="A139" s="53"/>
      <c r="B139" s="53"/>
      <c r="C139" s="2" t="s">
        <v>229</v>
      </c>
      <c r="D139" s="2" t="s">
        <v>244</v>
      </c>
      <c r="E139" s="2" t="s">
        <v>247</v>
      </c>
      <c r="F139" s="32">
        <v>0</v>
      </c>
      <c r="G139" s="2">
        <v>2.5</v>
      </c>
      <c r="H139" s="2"/>
      <c r="I139" s="2"/>
      <c r="J139" s="2"/>
      <c r="K139" s="53"/>
    </row>
    <row r="140" spans="1:11" x14ac:dyDescent="0.3">
      <c r="A140" s="56">
        <v>42</v>
      </c>
      <c r="B140" s="54" t="s">
        <v>248</v>
      </c>
      <c r="C140" s="3" t="s">
        <v>229</v>
      </c>
      <c r="D140" s="3" t="s">
        <v>249</v>
      </c>
      <c r="E140" s="3" t="s">
        <v>250</v>
      </c>
      <c r="F140" s="35">
        <v>0</v>
      </c>
      <c r="G140" s="3">
        <v>3</v>
      </c>
      <c r="H140" s="3"/>
      <c r="I140" s="3"/>
      <c r="J140" s="3"/>
      <c r="K140" s="58">
        <f>AVERAGE($F$140:$F$142)</f>
        <v>0</v>
      </c>
    </row>
    <row r="141" spans="1:11" x14ac:dyDescent="0.3">
      <c r="A141" s="53"/>
      <c r="B141" s="53"/>
      <c r="C141" s="3" t="s">
        <v>229</v>
      </c>
      <c r="D141" s="3" t="s">
        <v>249</v>
      </c>
      <c r="E141" s="3" t="s">
        <v>251</v>
      </c>
      <c r="F141" s="35">
        <v>0</v>
      </c>
      <c r="G141" s="3">
        <v>3</v>
      </c>
      <c r="H141" s="3"/>
      <c r="I141" s="3"/>
      <c r="J141" s="3"/>
      <c r="K141" s="53"/>
    </row>
    <row r="142" spans="1:11" x14ac:dyDescent="0.3">
      <c r="A142" s="53"/>
      <c r="B142" s="53"/>
      <c r="C142" s="3" t="s">
        <v>229</v>
      </c>
      <c r="D142" s="3" t="s">
        <v>249</v>
      </c>
      <c r="E142" s="3" t="s">
        <v>252</v>
      </c>
      <c r="F142" s="35">
        <v>0</v>
      </c>
      <c r="G142" s="3">
        <v>2</v>
      </c>
      <c r="H142" s="3"/>
      <c r="I142" s="3"/>
      <c r="J142" s="3"/>
      <c r="K142" s="53"/>
    </row>
    <row r="143" spans="1:11" x14ac:dyDescent="0.3">
      <c r="A143" s="55">
        <v>43</v>
      </c>
      <c r="B143" s="52" t="s">
        <v>253</v>
      </c>
      <c r="C143" s="2" t="s">
        <v>229</v>
      </c>
      <c r="D143" s="2" t="s">
        <v>254</v>
      </c>
      <c r="E143" s="2" t="s">
        <v>255</v>
      </c>
      <c r="F143" s="35">
        <v>0</v>
      </c>
      <c r="G143" s="2">
        <v>2</v>
      </c>
      <c r="H143" s="2"/>
      <c r="I143" s="2"/>
      <c r="J143" s="2"/>
      <c r="K143" s="58">
        <f>AVERAGE($F$143:$F$145)</f>
        <v>0</v>
      </c>
    </row>
    <row r="144" spans="1:11" x14ac:dyDescent="0.3">
      <c r="A144" s="53"/>
      <c r="B144" s="53"/>
      <c r="C144" s="2" t="s">
        <v>229</v>
      </c>
      <c r="D144" s="2" t="s">
        <v>254</v>
      </c>
      <c r="E144" s="2" t="s">
        <v>256</v>
      </c>
      <c r="F144" s="35">
        <v>0</v>
      </c>
      <c r="G144" s="2">
        <v>3</v>
      </c>
      <c r="H144" s="2"/>
      <c r="I144" s="2"/>
      <c r="J144" s="2"/>
      <c r="K144" s="53"/>
    </row>
    <row r="145" spans="1:11" x14ac:dyDescent="0.3">
      <c r="A145" s="53"/>
      <c r="B145" s="53"/>
      <c r="C145" s="2" t="s">
        <v>229</v>
      </c>
      <c r="D145" s="2" t="s">
        <v>254</v>
      </c>
      <c r="E145" s="2" t="s">
        <v>257</v>
      </c>
      <c r="F145" s="35">
        <v>0</v>
      </c>
      <c r="G145" s="2">
        <v>3</v>
      </c>
      <c r="H145" s="2"/>
      <c r="I145" s="2"/>
      <c r="J145" s="2"/>
      <c r="K145" s="53"/>
    </row>
    <row r="146" spans="1:11" x14ac:dyDescent="0.3">
      <c r="A146" s="56">
        <v>44</v>
      </c>
      <c r="B146" s="54" t="s">
        <v>258</v>
      </c>
      <c r="C146" s="3" t="s">
        <v>229</v>
      </c>
      <c r="D146" s="3" t="s">
        <v>193</v>
      </c>
      <c r="E146" s="3" t="s">
        <v>259</v>
      </c>
      <c r="F146" s="35">
        <v>0</v>
      </c>
      <c r="G146" s="3">
        <v>3</v>
      </c>
      <c r="H146" s="3"/>
      <c r="I146" s="3"/>
      <c r="J146" s="3"/>
      <c r="K146" s="58">
        <f>AVERAGE($F$146:$F$148)</f>
        <v>0</v>
      </c>
    </row>
    <row r="147" spans="1:11" x14ac:dyDescent="0.3">
      <c r="A147" s="53"/>
      <c r="B147" s="53"/>
      <c r="C147" s="3" t="s">
        <v>229</v>
      </c>
      <c r="D147" s="3" t="s">
        <v>193</v>
      </c>
      <c r="E147" s="3" t="s">
        <v>260</v>
      </c>
      <c r="F147" s="35">
        <v>0</v>
      </c>
      <c r="G147" s="3">
        <v>3</v>
      </c>
      <c r="H147" s="3"/>
      <c r="I147" s="3"/>
      <c r="J147" s="3"/>
      <c r="K147" s="53"/>
    </row>
    <row r="148" spans="1:11" x14ac:dyDescent="0.3">
      <c r="A148" s="53"/>
      <c r="B148" s="53"/>
      <c r="C148" s="3" t="s">
        <v>229</v>
      </c>
      <c r="D148" s="3" t="s">
        <v>193</v>
      </c>
      <c r="E148" s="3" t="s">
        <v>80</v>
      </c>
      <c r="F148" s="35">
        <v>0</v>
      </c>
      <c r="G148" s="3">
        <v>2</v>
      </c>
      <c r="H148" s="3"/>
      <c r="I148" s="3"/>
      <c r="J148" s="3"/>
      <c r="K148" s="53"/>
    </row>
    <row r="149" spans="1:11" x14ac:dyDescent="0.3">
      <c r="A149" s="55">
        <v>45</v>
      </c>
      <c r="B149" s="52" t="s">
        <v>261</v>
      </c>
      <c r="C149" s="2" t="s">
        <v>262</v>
      </c>
      <c r="D149" s="2" t="s">
        <v>263</v>
      </c>
      <c r="E149" s="2" t="s">
        <v>264</v>
      </c>
      <c r="F149" s="35">
        <v>0</v>
      </c>
      <c r="G149" s="2">
        <v>3</v>
      </c>
      <c r="H149" s="2"/>
      <c r="I149" s="2"/>
      <c r="J149" s="2"/>
      <c r="K149" s="58">
        <f>AVERAGE($F$149:$F$151)</f>
        <v>0</v>
      </c>
    </row>
    <row r="150" spans="1:11" x14ac:dyDescent="0.3">
      <c r="A150" s="53"/>
      <c r="B150" s="53"/>
      <c r="C150" s="2" t="s">
        <v>262</v>
      </c>
      <c r="D150" s="2" t="s">
        <v>263</v>
      </c>
      <c r="E150" s="2" t="s">
        <v>265</v>
      </c>
      <c r="F150" s="35">
        <v>0</v>
      </c>
      <c r="G150" s="2">
        <v>2</v>
      </c>
      <c r="H150" s="2"/>
      <c r="I150" s="2"/>
      <c r="J150" s="2"/>
      <c r="K150" s="53"/>
    </row>
    <row r="151" spans="1:11" x14ac:dyDescent="0.3">
      <c r="A151" s="53"/>
      <c r="B151" s="53"/>
      <c r="C151" s="2" t="s">
        <v>262</v>
      </c>
      <c r="D151" s="2" t="s">
        <v>263</v>
      </c>
      <c r="E151" s="2" t="s">
        <v>266</v>
      </c>
      <c r="F151" s="35">
        <v>0</v>
      </c>
      <c r="G151" s="2">
        <v>3</v>
      </c>
      <c r="H151" s="2"/>
      <c r="I151" s="2"/>
      <c r="J151" s="2"/>
      <c r="K151" s="53"/>
    </row>
    <row r="152" spans="1:11" x14ac:dyDescent="0.3">
      <c r="A152" s="56">
        <v>46</v>
      </c>
      <c r="B152" s="54" t="s">
        <v>267</v>
      </c>
      <c r="C152" s="3" t="s">
        <v>262</v>
      </c>
      <c r="D152" s="3" t="s">
        <v>268</v>
      </c>
      <c r="E152" s="3" t="s">
        <v>269</v>
      </c>
      <c r="F152" s="35">
        <v>0</v>
      </c>
      <c r="G152" s="3">
        <v>3</v>
      </c>
      <c r="H152" s="3"/>
      <c r="I152" s="3"/>
      <c r="J152" s="3"/>
      <c r="K152" s="58">
        <f>AVERAGE($F$152:$F$154)</f>
        <v>0</v>
      </c>
    </row>
    <row r="153" spans="1:11" x14ac:dyDescent="0.3">
      <c r="A153" s="53"/>
      <c r="B153" s="53"/>
      <c r="C153" s="3" t="s">
        <v>262</v>
      </c>
      <c r="D153" s="3" t="s">
        <v>268</v>
      </c>
      <c r="E153" s="3" t="s">
        <v>270</v>
      </c>
      <c r="F153" s="35">
        <v>0</v>
      </c>
      <c r="G153" s="3">
        <v>3</v>
      </c>
      <c r="H153" s="3"/>
      <c r="I153" s="3"/>
      <c r="J153" s="3"/>
      <c r="K153" s="53"/>
    </row>
    <row r="154" spans="1:11" x14ac:dyDescent="0.3">
      <c r="A154" s="53"/>
      <c r="B154" s="53"/>
      <c r="C154" s="3" t="s">
        <v>262</v>
      </c>
      <c r="D154" s="3" t="s">
        <v>268</v>
      </c>
      <c r="E154" s="3" t="s">
        <v>271</v>
      </c>
      <c r="F154" s="35">
        <v>0</v>
      </c>
      <c r="G154" s="3">
        <v>2</v>
      </c>
      <c r="H154" s="3"/>
      <c r="I154" s="3"/>
      <c r="J154" s="3"/>
      <c r="K154" s="53"/>
    </row>
    <row r="155" spans="1:11" x14ac:dyDescent="0.3">
      <c r="A155" s="55">
        <v>47</v>
      </c>
      <c r="B155" s="52" t="s">
        <v>272</v>
      </c>
      <c r="C155" s="2" t="s">
        <v>164</v>
      </c>
      <c r="D155" s="2" t="s">
        <v>273</v>
      </c>
      <c r="E155" s="2" t="s">
        <v>274</v>
      </c>
      <c r="F155" s="35">
        <v>0</v>
      </c>
      <c r="G155" s="2">
        <v>2</v>
      </c>
      <c r="H155" s="2"/>
      <c r="I155" s="2"/>
      <c r="J155" s="2"/>
      <c r="K155" s="58">
        <f>AVERAGE($F$155:$F$157)</f>
        <v>0</v>
      </c>
    </row>
    <row r="156" spans="1:11" x14ac:dyDescent="0.3">
      <c r="A156" s="53"/>
      <c r="B156" s="53"/>
      <c r="C156" s="2" t="s">
        <v>164</v>
      </c>
      <c r="D156" s="2" t="s">
        <v>273</v>
      </c>
      <c r="E156" s="2" t="s">
        <v>275</v>
      </c>
      <c r="F156" s="35">
        <v>0</v>
      </c>
      <c r="G156" s="2">
        <v>3</v>
      </c>
      <c r="H156" s="2"/>
      <c r="I156" s="2"/>
      <c r="J156" s="2"/>
      <c r="K156" s="53"/>
    </row>
    <row r="157" spans="1:11" x14ac:dyDescent="0.3">
      <c r="A157" s="53"/>
      <c r="B157" s="53"/>
      <c r="C157" s="2" t="s">
        <v>164</v>
      </c>
      <c r="D157" s="2" t="s">
        <v>273</v>
      </c>
      <c r="E157" s="2" t="s">
        <v>276</v>
      </c>
      <c r="F157" s="35">
        <v>0</v>
      </c>
      <c r="G157" s="2">
        <v>3</v>
      </c>
      <c r="H157" s="2"/>
      <c r="I157" s="2"/>
      <c r="J157" s="2"/>
      <c r="K157" s="53"/>
    </row>
    <row r="158" spans="1:11" x14ac:dyDescent="0.3">
      <c r="A158" s="56">
        <v>48</v>
      </c>
      <c r="B158" s="54" t="s">
        <v>277</v>
      </c>
      <c r="C158" s="3" t="s">
        <v>164</v>
      </c>
      <c r="D158" s="3" t="s">
        <v>278</v>
      </c>
      <c r="E158" s="3" t="s">
        <v>279</v>
      </c>
      <c r="F158" s="35">
        <v>0</v>
      </c>
      <c r="G158" s="3">
        <v>2</v>
      </c>
      <c r="H158" s="3"/>
      <c r="I158" s="3"/>
      <c r="J158" s="3"/>
      <c r="K158" s="58">
        <f>AVERAGE($F$158:$F$160)</f>
        <v>0</v>
      </c>
    </row>
    <row r="159" spans="1:11" x14ac:dyDescent="0.3">
      <c r="A159" s="53"/>
      <c r="B159" s="53"/>
      <c r="C159" s="3" t="s">
        <v>164</v>
      </c>
      <c r="D159" s="3" t="s">
        <v>278</v>
      </c>
      <c r="E159" s="3" t="s">
        <v>280</v>
      </c>
      <c r="F159" s="35">
        <v>0</v>
      </c>
      <c r="G159" s="3">
        <v>2</v>
      </c>
      <c r="H159" s="3"/>
      <c r="I159" s="3"/>
      <c r="J159" s="3"/>
      <c r="K159" s="53"/>
    </row>
    <row r="160" spans="1:11" x14ac:dyDescent="0.3">
      <c r="A160" s="53"/>
      <c r="B160" s="53"/>
      <c r="C160" s="3" t="s">
        <v>164</v>
      </c>
      <c r="D160" s="3" t="s">
        <v>278</v>
      </c>
      <c r="E160" s="3" t="s">
        <v>281</v>
      </c>
      <c r="F160" s="35">
        <v>0</v>
      </c>
      <c r="G160" s="3">
        <v>2</v>
      </c>
      <c r="H160" s="3"/>
      <c r="I160" s="3"/>
      <c r="J160" s="3"/>
      <c r="K160" s="53"/>
    </row>
    <row r="161" spans="1:11" x14ac:dyDescent="0.3">
      <c r="A161" s="55">
        <v>49</v>
      </c>
      <c r="B161" s="52" t="s">
        <v>282</v>
      </c>
      <c r="C161" s="2" t="s">
        <v>164</v>
      </c>
      <c r="D161" s="2" t="s">
        <v>283</v>
      </c>
      <c r="E161" s="2" t="s">
        <v>284</v>
      </c>
      <c r="F161" s="35">
        <v>0</v>
      </c>
      <c r="G161" s="2">
        <v>2</v>
      </c>
      <c r="H161" s="2"/>
      <c r="I161" s="2"/>
      <c r="J161" s="2"/>
      <c r="K161" s="58">
        <f>AVERAGE($F$161:$F$163)</f>
        <v>0</v>
      </c>
    </row>
    <row r="162" spans="1:11" x14ac:dyDescent="0.3">
      <c r="A162" s="53"/>
      <c r="B162" s="53"/>
      <c r="C162" s="2" t="s">
        <v>164</v>
      </c>
      <c r="D162" s="2" t="s">
        <v>283</v>
      </c>
      <c r="E162" s="2" t="s">
        <v>285</v>
      </c>
      <c r="F162" s="35">
        <v>0</v>
      </c>
      <c r="G162" s="2">
        <v>3</v>
      </c>
      <c r="H162" s="2"/>
      <c r="I162" s="2"/>
      <c r="J162" s="2"/>
      <c r="K162" s="53"/>
    </row>
    <row r="163" spans="1:11" x14ac:dyDescent="0.3">
      <c r="A163" s="53"/>
      <c r="B163" s="53"/>
      <c r="C163" s="2" t="s">
        <v>164</v>
      </c>
      <c r="D163" s="2" t="s">
        <v>283</v>
      </c>
      <c r="E163" s="2" t="s">
        <v>286</v>
      </c>
      <c r="F163" s="35">
        <v>0</v>
      </c>
      <c r="G163" s="2">
        <v>3</v>
      </c>
      <c r="H163" s="2"/>
      <c r="I163" s="2"/>
      <c r="J163" s="2"/>
      <c r="K163" s="53"/>
    </row>
    <row r="164" spans="1:11" x14ac:dyDescent="0.3">
      <c r="A164" s="56">
        <v>50</v>
      </c>
      <c r="B164" s="54" t="s">
        <v>287</v>
      </c>
      <c r="C164" s="3" t="s">
        <v>164</v>
      </c>
      <c r="D164" s="3" t="s">
        <v>288</v>
      </c>
      <c r="E164" s="3" t="s">
        <v>289</v>
      </c>
      <c r="F164" s="35">
        <v>0</v>
      </c>
      <c r="G164" s="3">
        <v>3</v>
      </c>
      <c r="H164" s="3"/>
      <c r="I164" s="3"/>
      <c r="J164" s="3"/>
      <c r="K164" s="58">
        <f>AVERAGE($F$164:$F$166)</f>
        <v>0</v>
      </c>
    </row>
    <row r="165" spans="1:11" x14ac:dyDescent="0.3">
      <c r="A165" s="53"/>
      <c r="B165" s="53"/>
      <c r="C165" s="3" t="s">
        <v>164</v>
      </c>
      <c r="D165" s="3" t="s">
        <v>288</v>
      </c>
      <c r="E165" s="3" t="s">
        <v>290</v>
      </c>
      <c r="F165" s="35">
        <v>0</v>
      </c>
      <c r="G165" s="3">
        <v>3</v>
      </c>
      <c r="H165" s="3"/>
      <c r="I165" s="3"/>
      <c r="J165" s="3"/>
      <c r="K165" s="53"/>
    </row>
    <row r="166" spans="1:11" x14ac:dyDescent="0.3">
      <c r="A166" s="53"/>
      <c r="B166" s="53"/>
      <c r="C166" s="3" t="s">
        <v>164</v>
      </c>
      <c r="D166" s="3" t="s">
        <v>288</v>
      </c>
      <c r="E166" s="3" t="s">
        <v>291</v>
      </c>
      <c r="F166" s="35">
        <v>0</v>
      </c>
      <c r="G166" s="3">
        <v>2</v>
      </c>
      <c r="H166" s="3"/>
      <c r="I166" s="3"/>
      <c r="J166" s="3"/>
      <c r="K166" s="53"/>
    </row>
    <row r="167" spans="1:11" x14ac:dyDescent="0.3">
      <c r="A167" s="55">
        <v>51</v>
      </c>
      <c r="B167" s="52" t="s">
        <v>292</v>
      </c>
      <c r="C167" s="2" t="s">
        <v>164</v>
      </c>
      <c r="D167" s="2" t="s">
        <v>293</v>
      </c>
      <c r="E167" s="2" t="s">
        <v>294</v>
      </c>
      <c r="F167" s="35">
        <v>0</v>
      </c>
      <c r="G167" s="2">
        <v>2</v>
      </c>
      <c r="H167" s="2"/>
      <c r="I167" s="2"/>
      <c r="J167" s="2"/>
      <c r="K167" s="58">
        <f>AVERAGE($F$167:$F$169)</f>
        <v>0</v>
      </c>
    </row>
    <row r="168" spans="1:11" x14ac:dyDescent="0.3">
      <c r="A168" s="53"/>
      <c r="B168" s="53"/>
      <c r="C168" s="2" t="s">
        <v>164</v>
      </c>
      <c r="D168" s="2" t="s">
        <v>293</v>
      </c>
      <c r="E168" s="2" t="s">
        <v>295</v>
      </c>
      <c r="F168" s="35">
        <v>0</v>
      </c>
      <c r="G168" s="2">
        <v>3</v>
      </c>
      <c r="H168" s="2"/>
      <c r="I168" s="2"/>
      <c r="J168" s="2"/>
      <c r="K168" s="53"/>
    </row>
    <row r="169" spans="1:11" x14ac:dyDescent="0.3">
      <c r="A169" s="53"/>
      <c r="B169" s="53"/>
      <c r="C169" s="2" t="s">
        <v>164</v>
      </c>
      <c r="D169" s="2" t="s">
        <v>293</v>
      </c>
      <c r="E169" s="2" t="s">
        <v>296</v>
      </c>
      <c r="F169" s="35">
        <v>0</v>
      </c>
      <c r="G169" s="2">
        <v>3</v>
      </c>
      <c r="H169" s="2"/>
      <c r="I169" s="2"/>
      <c r="J169" s="2"/>
      <c r="K169" s="53"/>
    </row>
    <row r="170" spans="1:11" x14ac:dyDescent="0.3">
      <c r="A170" s="56">
        <v>52</v>
      </c>
      <c r="B170" s="54" t="s">
        <v>297</v>
      </c>
      <c r="C170" s="3" t="s">
        <v>298</v>
      </c>
      <c r="D170" s="3" t="s">
        <v>113</v>
      </c>
      <c r="E170" s="3" t="s">
        <v>299</v>
      </c>
      <c r="F170" s="35">
        <v>0</v>
      </c>
      <c r="G170" s="3">
        <v>2</v>
      </c>
      <c r="H170" s="3"/>
      <c r="I170" s="3"/>
      <c r="J170" s="3"/>
      <c r="K170" s="58">
        <f>AVERAGE($F$170:$F$172)</f>
        <v>0</v>
      </c>
    </row>
    <row r="171" spans="1:11" x14ac:dyDescent="0.3">
      <c r="A171" s="53"/>
      <c r="B171" s="53"/>
      <c r="C171" s="3" t="s">
        <v>298</v>
      </c>
      <c r="D171" s="3" t="s">
        <v>113</v>
      </c>
      <c r="E171" s="3" t="s">
        <v>300</v>
      </c>
      <c r="F171" s="35">
        <v>0</v>
      </c>
      <c r="G171" s="3">
        <v>3</v>
      </c>
      <c r="H171" s="3"/>
      <c r="I171" s="3"/>
      <c r="J171" s="3"/>
      <c r="K171" s="53"/>
    </row>
    <row r="172" spans="1:11" x14ac:dyDescent="0.3">
      <c r="A172" s="53"/>
      <c r="B172" s="53"/>
      <c r="C172" s="3" t="s">
        <v>298</v>
      </c>
      <c r="D172" s="3" t="s">
        <v>113</v>
      </c>
      <c r="E172" s="3" t="s">
        <v>301</v>
      </c>
      <c r="F172" s="35">
        <v>0</v>
      </c>
      <c r="G172" s="3">
        <v>3</v>
      </c>
      <c r="H172" s="3"/>
      <c r="I172" s="3"/>
      <c r="J172" s="3"/>
      <c r="K172" s="53"/>
    </row>
    <row r="173" spans="1:11" x14ac:dyDescent="0.3">
      <c r="A173" s="55">
        <v>53</v>
      </c>
      <c r="B173" s="52" t="s">
        <v>302</v>
      </c>
      <c r="C173" s="2" t="s">
        <v>298</v>
      </c>
      <c r="D173" s="2" t="s">
        <v>303</v>
      </c>
      <c r="E173" s="2" t="s">
        <v>304</v>
      </c>
      <c r="F173" s="35">
        <v>0</v>
      </c>
      <c r="G173" s="2">
        <v>3</v>
      </c>
      <c r="H173" s="2"/>
      <c r="I173" s="2"/>
      <c r="J173" s="2"/>
      <c r="K173" s="58">
        <f>AVERAGE($F$173:$F$175)</f>
        <v>0</v>
      </c>
    </row>
    <row r="174" spans="1:11" x14ac:dyDescent="0.3">
      <c r="A174" s="53"/>
      <c r="B174" s="53"/>
      <c r="C174" s="2" t="s">
        <v>298</v>
      </c>
      <c r="D174" s="2" t="s">
        <v>303</v>
      </c>
      <c r="E174" s="2" t="s">
        <v>305</v>
      </c>
      <c r="F174" s="35">
        <v>0</v>
      </c>
      <c r="G174" s="2">
        <v>3</v>
      </c>
      <c r="H174" s="2"/>
      <c r="I174" s="2"/>
      <c r="J174" s="2"/>
      <c r="K174" s="53"/>
    </row>
    <row r="175" spans="1:11" x14ac:dyDescent="0.3">
      <c r="A175" s="53"/>
      <c r="B175" s="53"/>
      <c r="C175" s="2" t="s">
        <v>298</v>
      </c>
      <c r="D175" s="2" t="s">
        <v>303</v>
      </c>
      <c r="E175" s="2" t="s">
        <v>306</v>
      </c>
      <c r="F175" s="35">
        <v>0</v>
      </c>
      <c r="G175" s="2">
        <v>2</v>
      </c>
      <c r="H175" s="2"/>
      <c r="I175" s="2"/>
      <c r="J175" s="2"/>
      <c r="K175" s="53"/>
    </row>
    <row r="176" spans="1:11" x14ac:dyDescent="0.3">
      <c r="A176" s="56">
        <v>54</v>
      </c>
      <c r="B176" s="54" t="s">
        <v>307</v>
      </c>
      <c r="C176" s="3" t="s">
        <v>298</v>
      </c>
      <c r="D176" s="3" t="s">
        <v>303</v>
      </c>
      <c r="E176" s="3" t="s">
        <v>308</v>
      </c>
      <c r="F176" s="35">
        <v>0</v>
      </c>
      <c r="G176" s="3">
        <v>3</v>
      </c>
      <c r="H176" s="3"/>
      <c r="I176" s="3"/>
      <c r="J176" s="3"/>
      <c r="K176" s="58">
        <f>AVERAGE($F$176:$F$178)</f>
        <v>0</v>
      </c>
    </row>
    <row r="177" spans="1:11" x14ac:dyDescent="0.3">
      <c r="A177" s="53"/>
      <c r="B177" s="53"/>
      <c r="C177" s="3" t="s">
        <v>298</v>
      </c>
      <c r="D177" s="3" t="s">
        <v>303</v>
      </c>
      <c r="E177" s="3" t="s">
        <v>309</v>
      </c>
      <c r="F177" s="35">
        <v>0</v>
      </c>
      <c r="G177" s="3">
        <v>3</v>
      </c>
      <c r="H177" s="3"/>
      <c r="I177" s="3"/>
      <c r="J177" s="3"/>
      <c r="K177" s="53"/>
    </row>
    <row r="178" spans="1:11" x14ac:dyDescent="0.3">
      <c r="A178" s="53"/>
      <c r="B178" s="53"/>
      <c r="C178" s="3" t="s">
        <v>298</v>
      </c>
      <c r="D178" s="3" t="s">
        <v>303</v>
      </c>
      <c r="E178" s="3" t="s">
        <v>310</v>
      </c>
      <c r="F178" s="35">
        <v>0</v>
      </c>
      <c r="G178" s="3">
        <v>2</v>
      </c>
      <c r="H178" s="3"/>
      <c r="I178" s="3"/>
      <c r="J178" s="3"/>
      <c r="K178" s="53"/>
    </row>
    <row r="179" spans="1:11" x14ac:dyDescent="0.3">
      <c r="A179" s="55">
        <v>55</v>
      </c>
      <c r="B179" s="52" t="s">
        <v>311</v>
      </c>
      <c r="C179" s="2" t="s">
        <v>178</v>
      </c>
      <c r="D179" s="2" t="s">
        <v>312</v>
      </c>
      <c r="E179" s="2" t="s">
        <v>313</v>
      </c>
      <c r="F179" s="35">
        <v>0</v>
      </c>
      <c r="G179" s="2">
        <v>3</v>
      </c>
      <c r="H179" s="2"/>
      <c r="I179" s="2"/>
      <c r="J179" s="2"/>
      <c r="K179" s="58">
        <f>AVERAGE($F$179:$F$181)</f>
        <v>0</v>
      </c>
    </row>
    <row r="180" spans="1:11" x14ac:dyDescent="0.3">
      <c r="A180" s="53"/>
      <c r="B180" s="53"/>
      <c r="C180" s="2" t="s">
        <v>178</v>
      </c>
      <c r="D180" s="2" t="s">
        <v>312</v>
      </c>
      <c r="E180" s="2" t="s">
        <v>314</v>
      </c>
      <c r="F180" s="35">
        <v>0</v>
      </c>
      <c r="G180" s="2">
        <v>3</v>
      </c>
      <c r="H180" s="2"/>
      <c r="I180" s="2"/>
      <c r="J180" s="2"/>
      <c r="K180" s="53"/>
    </row>
    <row r="181" spans="1:11" x14ac:dyDescent="0.3">
      <c r="A181" s="53"/>
      <c r="B181" s="53"/>
      <c r="C181" s="2" t="s">
        <v>178</v>
      </c>
      <c r="D181" s="2" t="s">
        <v>312</v>
      </c>
      <c r="E181" s="2" t="s">
        <v>182</v>
      </c>
      <c r="F181" s="35">
        <v>0</v>
      </c>
      <c r="G181" s="2">
        <v>2</v>
      </c>
      <c r="H181" s="2"/>
      <c r="I181" s="2"/>
      <c r="J181" s="2"/>
      <c r="K181" s="53"/>
    </row>
    <row r="182" spans="1:11" x14ac:dyDescent="0.3">
      <c r="A182" s="56">
        <v>56</v>
      </c>
      <c r="B182" s="54" t="s">
        <v>315</v>
      </c>
      <c r="C182" s="3" t="s">
        <v>178</v>
      </c>
      <c r="D182" s="3" t="s">
        <v>316</v>
      </c>
      <c r="E182" s="3" t="s">
        <v>317</v>
      </c>
      <c r="F182" s="35">
        <v>0</v>
      </c>
      <c r="G182" s="3">
        <v>3</v>
      </c>
      <c r="H182" s="3"/>
      <c r="I182" s="3"/>
      <c r="J182" s="3"/>
      <c r="K182" s="58">
        <f>AVERAGE($F$182:$F$184)</f>
        <v>0</v>
      </c>
    </row>
    <row r="183" spans="1:11" x14ac:dyDescent="0.3">
      <c r="A183" s="53"/>
      <c r="B183" s="53"/>
      <c r="C183" s="3" t="s">
        <v>178</v>
      </c>
      <c r="D183" s="3" t="s">
        <v>316</v>
      </c>
      <c r="E183" s="3" t="s">
        <v>318</v>
      </c>
      <c r="F183" s="35">
        <v>0</v>
      </c>
      <c r="G183" s="3">
        <v>3</v>
      </c>
      <c r="H183" s="3"/>
      <c r="I183" s="3"/>
      <c r="J183" s="3"/>
      <c r="K183" s="53"/>
    </row>
    <row r="184" spans="1:11" x14ac:dyDescent="0.3">
      <c r="A184" s="53"/>
      <c r="B184" s="53"/>
      <c r="C184" s="3" t="s">
        <v>178</v>
      </c>
      <c r="D184" s="3" t="s">
        <v>316</v>
      </c>
      <c r="E184" s="3" t="s">
        <v>190</v>
      </c>
      <c r="F184" s="35">
        <v>0</v>
      </c>
      <c r="G184" s="3">
        <v>2</v>
      </c>
      <c r="H184" s="3"/>
      <c r="I184" s="3"/>
      <c r="J184" s="3"/>
      <c r="K184" s="53"/>
    </row>
    <row r="185" spans="1:11" x14ac:dyDescent="0.3">
      <c r="A185" s="55">
        <v>57</v>
      </c>
      <c r="B185" s="52" t="s">
        <v>319</v>
      </c>
      <c r="C185" s="2" t="s">
        <v>178</v>
      </c>
      <c r="D185" s="2" t="s">
        <v>320</v>
      </c>
      <c r="E185" s="2" t="s">
        <v>321</v>
      </c>
      <c r="F185" s="35">
        <v>0</v>
      </c>
      <c r="G185" s="2">
        <v>2</v>
      </c>
      <c r="H185" s="2"/>
      <c r="I185" s="2"/>
      <c r="J185" s="2"/>
      <c r="K185" s="58">
        <f>AVERAGE($F$185:$F$187)</f>
        <v>0</v>
      </c>
    </row>
    <row r="186" spans="1:11" x14ac:dyDescent="0.3">
      <c r="A186" s="53"/>
      <c r="B186" s="53"/>
      <c r="C186" s="2" t="s">
        <v>178</v>
      </c>
      <c r="D186" s="2" t="s">
        <v>320</v>
      </c>
      <c r="E186" s="2" t="s">
        <v>322</v>
      </c>
      <c r="F186" s="35">
        <v>0</v>
      </c>
      <c r="G186" s="2">
        <v>3</v>
      </c>
      <c r="H186" s="2"/>
      <c r="I186" s="2"/>
      <c r="J186" s="2"/>
      <c r="K186" s="53"/>
    </row>
    <row r="187" spans="1:11" x14ac:dyDescent="0.3">
      <c r="A187" s="53"/>
      <c r="B187" s="53"/>
      <c r="C187" s="2" t="s">
        <v>178</v>
      </c>
      <c r="D187" s="2" t="s">
        <v>320</v>
      </c>
      <c r="E187" s="2" t="s">
        <v>57</v>
      </c>
      <c r="F187" s="35">
        <v>0</v>
      </c>
      <c r="G187" s="2">
        <v>3</v>
      </c>
      <c r="H187" s="2"/>
      <c r="I187" s="2"/>
      <c r="J187" s="2"/>
      <c r="K187" s="53"/>
    </row>
    <row r="188" spans="1:11" x14ac:dyDescent="0.3">
      <c r="A188" s="56">
        <v>58</v>
      </c>
      <c r="B188" s="54" t="s">
        <v>323</v>
      </c>
      <c r="C188" s="3" t="s">
        <v>298</v>
      </c>
      <c r="D188" s="3" t="s">
        <v>193</v>
      </c>
      <c r="E188" s="3" t="s">
        <v>324</v>
      </c>
      <c r="F188" s="35">
        <v>0</v>
      </c>
      <c r="G188" s="3">
        <v>3</v>
      </c>
      <c r="H188" s="3"/>
      <c r="I188" s="3"/>
      <c r="J188" s="3"/>
      <c r="K188" s="58">
        <f>AVERAGE($F$188:$F$190)</f>
        <v>0</v>
      </c>
    </row>
    <row r="189" spans="1:11" x14ac:dyDescent="0.3">
      <c r="A189" s="53"/>
      <c r="B189" s="53"/>
      <c r="C189" s="3" t="s">
        <v>298</v>
      </c>
      <c r="D189" s="3" t="s">
        <v>193</v>
      </c>
      <c r="E189" s="3" t="s">
        <v>325</v>
      </c>
      <c r="F189" s="35">
        <v>0</v>
      </c>
      <c r="G189" s="3">
        <v>3</v>
      </c>
      <c r="H189" s="3"/>
      <c r="I189" s="3"/>
      <c r="J189" s="3"/>
      <c r="K189" s="53"/>
    </row>
    <row r="190" spans="1:11" x14ac:dyDescent="0.3">
      <c r="A190" s="53"/>
      <c r="B190" s="53"/>
      <c r="C190" s="3" t="s">
        <v>298</v>
      </c>
      <c r="D190" s="3" t="s">
        <v>193</v>
      </c>
      <c r="E190" s="3" t="s">
        <v>326</v>
      </c>
      <c r="F190" s="35">
        <v>0</v>
      </c>
      <c r="G190" s="3">
        <v>2</v>
      </c>
      <c r="H190" s="3"/>
      <c r="I190" s="3"/>
      <c r="J190" s="3"/>
      <c r="K190" s="53"/>
    </row>
    <row r="191" spans="1:11" x14ac:dyDescent="0.3">
      <c r="A191" s="55">
        <v>59</v>
      </c>
      <c r="B191" s="52" t="s">
        <v>327</v>
      </c>
      <c r="C191" s="2" t="s">
        <v>298</v>
      </c>
      <c r="D191" s="2" t="s">
        <v>328</v>
      </c>
      <c r="E191" s="2" t="s">
        <v>329</v>
      </c>
      <c r="F191" s="35">
        <v>0</v>
      </c>
      <c r="G191" s="2">
        <v>3</v>
      </c>
      <c r="H191" s="2"/>
      <c r="I191" s="2"/>
      <c r="J191" s="2"/>
      <c r="K191" s="58">
        <f>AVERAGE($F$191:$F$193)</f>
        <v>0</v>
      </c>
    </row>
    <row r="192" spans="1:11" x14ac:dyDescent="0.3">
      <c r="A192" s="53"/>
      <c r="B192" s="53"/>
      <c r="C192" s="2" t="s">
        <v>298</v>
      </c>
      <c r="D192" s="2" t="s">
        <v>328</v>
      </c>
      <c r="E192" s="2" t="s">
        <v>330</v>
      </c>
      <c r="F192" s="35">
        <v>0</v>
      </c>
      <c r="G192" s="2">
        <v>3</v>
      </c>
      <c r="H192" s="2"/>
      <c r="I192" s="2"/>
      <c r="J192" s="2"/>
      <c r="K192" s="53"/>
    </row>
    <row r="193" spans="1:11" x14ac:dyDescent="0.3">
      <c r="A193" s="53"/>
      <c r="B193" s="53"/>
      <c r="C193" s="2" t="s">
        <v>298</v>
      </c>
      <c r="D193" s="2" t="s">
        <v>328</v>
      </c>
      <c r="E193" s="2" t="s">
        <v>331</v>
      </c>
      <c r="F193" s="35">
        <v>0</v>
      </c>
      <c r="G193" s="2">
        <v>2</v>
      </c>
      <c r="H193" s="2"/>
      <c r="I193" s="2"/>
      <c r="J193" s="2"/>
      <c r="K193" s="53"/>
    </row>
    <row r="194" spans="1:11" x14ac:dyDescent="0.3">
      <c r="A194" s="56">
        <v>60</v>
      </c>
      <c r="B194" s="54" t="s">
        <v>332</v>
      </c>
      <c r="C194" s="3" t="s">
        <v>178</v>
      </c>
      <c r="D194" s="3" t="s">
        <v>333</v>
      </c>
      <c r="E194" s="3" t="s">
        <v>334</v>
      </c>
      <c r="F194" s="35">
        <v>0</v>
      </c>
      <c r="G194" s="3">
        <v>2</v>
      </c>
      <c r="H194" s="3"/>
      <c r="I194" s="3"/>
      <c r="J194" s="3"/>
      <c r="K194" s="58">
        <f>AVERAGE($F$194:$F$196)</f>
        <v>0</v>
      </c>
    </row>
    <row r="195" spans="1:11" x14ac:dyDescent="0.3">
      <c r="A195" s="53"/>
      <c r="B195" s="53"/>
      <c r="C195" s="3" t="s">
        <v>178</v>
      </c>
      <c r="D195" s="3" t="s">
        <v>333</v>
      </c>
      <c r="E195" s="3" t="s">
        <v>335</v>
      </c>
      <c r="F195" s="35">
        <v>0</v>
      </c>
      <c r="G195" s="3">
        <v>3</v>
      </c>
      <c r="H195" s="3"/>
      <c r="I195" s="3"/>
      <c r="J195" s="3"/>
      <c r="K195" s="53"/>
    </row>
    <row r="196" spans="1:11" x14ac:dyDescent="0.3">
      <c r="A196" s="53"/>
      <c r="B196" s="53"/>
      <c r="C196" s="3" t="s">
        <v>178</v>
      </c>
      <c r="D196" s="3" t="s">
        <v>333</v>
      </c>
      <c r="E196" s="3" t="s">
        <v>247</v>
      </c>
      <c r="F196" s="35">
        <v>0</v>
      </c>
      <c r="G196" s="3">
        <v>3</v>
      </c>
      <c r="H196" s="3"/>
      <c r="I196" s="3"/>
      <c r="J196" s="3"/>
      <c r="K196" s="53"/>
    </row>
    <row r="197" spans="1:11" x14ac:dyDescent="0.3">
      <c r="A197" s="55">
        <v>61</v>
      </c>
      <c r="B197" s="52" t="s">
        <v>336</v>
      </c>
      <c r="C197" s="2" t="s">
        <v>178</v>
      </c>
      <c r="D197" s="2" t="s">
        <v>337</v>
      </c>
      <c r="E197" s="2" t="s">
        <v>338</v>
      </c>
      <c r="F197" s="35">
        <v>0</v>
      </c>
      <c r="G197" s="2">
        <v>2.5</v>
      </c>
      <c r="H197" s="2"/>
      <c r="I197" s="2"/>
      <c r="J197" s="2" t="s">
        <v>339</v>
      </c>
      <c r="K197" s="58">
        <f>AVERAGE($F$197:$F$199)</f>
        <v>0</v>
      </c>
    </row>
    <row r="198" spans="1:11" x14ac:dyDescent="0.3">
      <c r="A198" s="53"/>
      <c r="B198" s="53"/>
      <c r="C198" s="2" t="s">
        <v>178</v>
      </c>
      <c r="D198" s="2" t="s">
        <v>337</v>
      </c>
      <c r="E198" s="2" t="s">
        <v>340</v>
      </c>
      <c r="F198" s="35">
        <v>0</v>
      </c>
      <c r="G198" s="2">
        <v>2.5</v>
      </c>
      <c r="H198" s="2"/>
      <c r="I198" s="2"/>
      <c r="J198" s="2"/>
      <c r="K198" s="53"/>
    </row>
    <row r="199" spans="1:11" x14ac:dyDescent="0.3">
      <c r="A199" s="53"/>
      <c r="B199" s="53"/>
      <c r="C199" s="2" t="s">
        <v>178</v>
      </c>
      <c r="D199" s="2" t="s">
        <v>337</v>
      </c>
      <c r="E199" s="2" t="s">
        <v>341</v>
      </c>
      <c r="F199" s="35">
        <v>0</v>
      </c>
      <c r="G199" s="2">
        <v>3</v>
      </c>
      <c r="H199" s="2"/>
      <c r="I199" s="2"/>
      <c r="J199" s="2"/>
      <c r="K199" s="53"/>
    </row>
    <row r="200" spans="1:11" x14ac:dyDescent="0.3">
      <c r="A200" s="56">
        <v>62</v>
      </c>
      <c r="B200" s="54" t="s">
        <v>342</v>
      </c>
      <c r="C200" s="3" t="s">
        <v>343</v>
      </c>
      <c r="D200" s="3" t="s">
        <v>344</v>
      </c>
      <c r="E200" s="3" t="s">
        <v>345</v>
      </c>
      <c r="F200" s="35">
        <v>0</v>
      </c>
      <c r="G200" s="3">
        <v>3</v>
      </c>
      <c r="H200" s="3"/>
      <c r="I200" s="3"/>
      <c r="J200" s="3"/>
      <c r="K200" s="58">
        <f>AVERAGE($F$200:$F$202)</f>
        <v>0</v>
      </c>
    </row>
    <row r="201" spans="1:11" x14ac:dyDescent="0.3">
      <c r="A201" s="53"/>
      <c r="B201" s="53"/>
      <c r="C201" s="3" t="s">
        <v>343</v>
      </c>
      <c r="D201" s="3" t="s">
        <v>344</v>
      </c>
      <c r="E201" s="3" t="s">
        <v>346</v>
      </c>
      <c r="F201" s="35">
        <v>0</v>
      </c>
      <c r="G201" s="3">
        <v>3</v>
      </c>
      <c r="H201" s="3"/>
      <c r="I201" s="3"/>
      <c r="J201" s="3"/>
      <c r="K201" s="53"/>
    </row>
    <row r="202" spans="1:11" x14ac:dyDescent="0.3">
      <c r="A202" s="53"/>
      <c r="B202" s="53"/>
      <c r="C202" s="3" t="s">
        <v>343</v>
      </c>
      <c r="D202" s="3" t="s">
        <v>344</v>
      </c>
      <c r="E202" s="3" t="s">
        <v>347</v>
      </c>
      <c r="F202" s="35">
        <v>0</v>
      </c>
      <c r="G202" s="3">
        <v>2</v>
      </c>
      <c r="H202" s="3"/>
      <c r="I202" s="3"/>
      <c r="J202" s="3"/>
      <c r="K202" s="53"/>
    </row>
    <row r="203" spans="1:11" x14ac:dyDescent="0.3">
      <c r="A203" s="55">
        <v>63</v>
      </c>
      <c r="B203" s="52" t="s">
        <v>348</v>
      </c>
      <c r="C203" s="2" t="s">
        <v>343</v>
      </c>
      <c r="D203" s="2" t="s">
        <v>344</v>
      </c>
      <c r="E203" s="2" t="s">
        <v>349</v>
      </c>
      <c r="F203" s="35">
        <v>0</v>
      </c>
      <c r="G203" s="2">
        <v>3</v>
      </c>
      <c r="H203" s="2"/>
      <c r="I203" s="2"/>
      <c r="J203" s="2"/>
      <c r="K203" s="58">
        <f>AVERAGE($F$203:$F$205)</f>
        <v>0</v>
      </c>
    </row>
    <row r="204" spans="1:11" x14ac:dyDescent="0.3">
      <c r="A204" s="53"/>
      <c r="B204" s="53"/>
      <c r="C204" s="2" t="s">
        <v>343</v>
      </c>
      <c r="D204" s="2" t="s">
        <v>344</v>
      </c>
      <c r="E204" s="2" t="s">
        <v>350</v>
      </c>
      <c r="F204" s="35">
        <v>0</v>
      </c>
      <c r="G204" s="2">
        <v>3</v>
      </c>
      <c r="H204" s="2"/>
      <c r="I204" s="2"/>
      <c r="J204" s="2"/>
      <c r="K204" s="53"/>
    </row>
    <row r="205" spans="1:11" x14ac:dyDescent="0.3">
      <c r="A205" s="53"/>
      <c r="B205" s="53"/>
      <c r="C205" s="2" t="s">
        <v>343</v>
      </c>
      <c r="D205" s="2" t="s">
        <v>344</v>
      </c>
      <c r="E205" s="2" t="s">
        <v>80</v>
      </c>
      <c r="F205" s="35">
        <v>0</v>
      </c>
      <c r="G205" s="2">
        <v>2</v>
      </c>
      <c r="H205" s="2"/>
      <c r="I205" s="2"/>
      <c r="J205" s="2"/>
      <c r="K205" s="53"/>
    </row>
    <row r="206" spans="1:11" x14ac:dyDescent="0.3">
      <c r="A206" s="56">
        <v>64</v>
      </c>
      <c r="B206" s="54" t="s">
        <v>351</v>
      </c>
      <c r="C206" s="3" t="s">
        <v>343</v>
      </c>
      <c r="D206" s="3" t="s">
        <v>352</v>
      </c>
      <c r="E206" s="3" t="s">
        <v>353</v>
      </c>
      <c r="F206" s="35">
        <v>0</v>
      </c>
      <c r="G206" s="3">
        <v>3</v>
      </c>
      <c r="H206" s="3"/>
      <c r="I206" s="3"/>
      <c r="J206" s="3"/>
      <c r="K206" s="58">
        <f>AVERAGE($F$206:$F$208)</f>
        <v>0</v>
      </c>
    </row>
    <row r="207" spans="1:11" x14ac:dyDescent="0.3">
      <c r="A207" s="53"/>
      <c r="B207" s="53"/>
      <c r="C207" s="3" t="s">
        <v>343</v>
      </c>
      <c r="D207" s="3" t="s">
        <v>352</v>
      </c>
      <c r="E207" s="3" t="s">
        <v>354</v>
      </c>
      <c r="F207" s="35">
        <v>0</v>
      </c>
      <c r="G207" s="3">
        <v>3</v>
      </c>
      <c r="H207" s="3"/>
      <c r="I207" s="3"/>
      <c r="J207" s="3"/>
      <c r="K207" s="53"/>
    </row>
    <row r="208" spans="1:11" x14ac:dyDescent="0.3">
      <c r="A208" s="53"/>
      <c r="B208" s="53"/>
      <c r="C208" s="3" t="s">
        <v>343</v>
      </c>
      <c r="D208" s="3" t="s">
        <v>352</v>
      </c>
      <c r="E208" s="3" t="s">
        <v>355</v>
      </c>
      <c r="F208" s="35">
        <v>0</v>
      </c>
      <c r="G208" s="3">
        <v>2</v>
      </c>
      <c r="H208" s="3"/>
      <c r="I208" s="3"/>
      <c r="J208" s="3"/>
      <c r="K208" s="53"/>
    </row>
    <row r="209" spans="1:11" x14ac:dyDescent="0.3">
      <c r="A209" s="55">
        <v>65</v>
      </c>
      <c r="B209" s="52" t="s">
        <v>356</v>
      </c>
      <c r="C209" s="2" t="s">
        <v>343</v>
      </c>
      <c r="D209" s="2" t="s">
        <v>357</v>
      </c>
      <c r="E209" s="2" t="s">
        <v>358</v>
      </c>
      <c r="F209" s="35">
        <v>0</v>
      </c>
      <c r="G209" s="2">
        <v>3</v>
      </c>
      <c r="H209" s="2"/>
      <c r="I209" s="2"/>
      <c r="J209" s="2"/>
      <c r="K209" s="58">
        <f>AVERAGE($F$209:$F$211)</f>
        <v>0</v>
      </c>
    </row>
    <row r="210" spans="1:11" x14ac:dyDescent="0.3">
      <c r="A210" s="53"/>
      <c r="B210" s="53"/>
      <c r="C210" s="2" t="s">
        <v>343</v>
      </c>
      <c r="D210" s="2" t="s">
        <v>357</v>
      </c>
      <c r="E210" s="2" t="s">
        <v>359</v>
      </c>
      <c r="F210" s="35">
        <v>0</v>
      </c>
      <c r="G210" s="2">
        <v>3</v>
      </c>
      <c r="H210" s="2"/>
      <c r="I210" s="2"/>
      <c r="J210" s="2"/>
      <c r="K210" s="53"/>
    </row>
    <row r="211" spans="1:11" x14ac:dyDescent="0.3">
      <c r="A211" s="53"/>
      <c r="B211" s="53"/>
      <c r="C211" s="2" t="s">
        <v>343</v>
      </c>
      <c r="D211" s="2" t="s">
        <v>357</v>
      </c>
      <c r="E211" s="2" t="s">
        <v>360</v>
      </c>
      <c r="F211" s="35">
        <v>0</v>
      </c>
      <c r="G211" s="2">
        <v>2</v>
      </c>
      <c r="H211" s="2"/>
      <c r="I211" s="2"/>
      <c r="J211" s="2"/>
      <c r="K211" s="53"/>
    </row>
    <row r="212" spans="1:11" x14ac:dyDescent="0.3">
      <c r="A212" s="56">
        <v>66</v>
      </c>
      <c r="B212" s="54" t="s">
        <v>361</v>
      </c>
      <c r="C212" s="3" t="s">
        <v>343</v>
      </c>
      <c r="D212" s="3" t="s">
        <v>362</v>
      </c>
      <c r="E212" s="3" t="s">
        <v>363</v>
      </c>
      <c r="F212" s="35">
        <v>0</v>
      </c>
      <c r="G212" s="3">
        <v>3</v>
      </c>
      <c r="H212" s="3"/>
      <c r="I212" s="3"/>
      <c r="J212" s="3"/>
      <c r="K212" s="58">
        <f>AVERAGE($F$212:$F$214)</f>
        <v>0</v>
      </c>
    </row>
    <row r="213" spans="1:11" x14ac:dyDescent="0.3">
      <c r="A213" s="53"/>
      <c r="B213" s="53"/>
      <c r="C213" s="3" t="s">
        <v>343</v>
      </c>
      <c r="D213" s="3" t="s">
        <v>362</v>
      </c>
      <c r="E213" s="3" t="s">
        <v>364</v>
      </c>
      <c r="F213" s="35">
        <v>0</v>
      </c>
      <c r="G213" s="3">
        <v>3</v>
      </c>
      <c r="H213" s="3"/>
      <c r="I213" s="3"/>
      <c r="J213" s="3"/>
      <c r="K213" s="53"/>
    </row>
    <row r="214" spans="1:11" x14ac:dyDescent="0.3">
      <c r="A214" s="53"/>
      <c r="B214" s="53"/>
      <c r="C214" s="3" t="s">
        <v>343</v>
      </c>
      <c r="D214" s="3" t="s">
        <v>362</v>
      </c>
      <c r="E214" s="3" t="s">
        <v>365</v>
      </c>
      <c r="F214" s="35">
        <v>0</v>
      </c>
      <c r="G214" s="3">
        <v>2</v>
      </c>
      <c r="H214" s="3"/>
      <c r="I214" s="3"/>
      <c r="J214" s="3"/>
      <c r="K214" s="53"/>
    </row>
    <row r="215" spans="1:11" x14ac:dyDescent="0.3">
      <c r="A215" s="55">
        <v>67</v>
      </c>
      <c r="B215" s="52" t="s">
        <v>366</v>
      </c>
      <c r="C215" s="2" t="s">
        <v>343</v>
      </c>
      <c r="D215" s="2" t="s">
        <v>367</v>
      </c>
      <c r="E215" s="2" t="s">
        <v>368</v>
      </c>
      <c r="F215" s="35">
        <v>0</v>
      </c>
      <c r="G215" s="2">
        <v>3</v>
      </c>
      <c r="H215" s="2"/>
      <c r="I215" s="2"/>
      <c r="J215" s="2"/>
      <c r="K215" s="58">
        <f>AVERAGE($F$215:$F$217)</f>
        <v>0</v>
      </c>
    </row>
    <row r="216" spans="1:11" x14ac:dyDescent="0.3">
      <c r="A216" s="53"/>
      <c r="B216" s="53"/>
      <c r="C216" s="2" t="s">
        <v>343</v>
      </c>
      <c r="D216" s="2" t="s">
        <v>367</v>
      </c>
      <c r="E216" s="2" t="s">
        <v>369</v>
      </c>
      <c r="F216" s="35">
        <v>0</v>
      </c>
      <c r="G216" s="2">
        <v>2</v>
      </c>
      <c r="H216" s="2"/>
      <c r="I216" s="2"/>
      <c r="J216" s="2"/>
      <c r="K216" s="53"/>
    </row>
    <row r="217" spans="1:11" x14ac:dyDescent="0.3">
      <c r="A217" s="53"/>
      <c r="B217" s="53"/>
      <c r="C217" s="2" t="s">
        <v>343</v>
      </c>
      <c r="D217" s="2" t="s">
        <v>367</v>
      </c>
      <c r="E217" s="2" t="s">
        <v>370</v>
      </c>
      <c r="F217" s="35">
        <v>0</v>
      </c>
      <c r="G217" s="2">
        <v>3</v>
      </c>
      <c r="H217" s="2"/>
      <c r="I217" s="2"/>
      <c r="J217" s="2"/>
      <c r="K217" s="53"/>
    </row>
    <row r="218" spans="1:11" x14ac:dyDescent="0.3">
      <c r="A218" s="56">
        <v>68</v>
      </c>
      <c r="B218" s="54" t="s">
        <v>371</v>
      </c>
      <c r="C218" s="3" t="s">
        <v>343</v>
      </c>
      <c r="D218" s="3" t="s">
        <v>193</v>
      </c>
      <c r="E218" s="3" t="s">
        <v>372</v>
      </c>
      <c r="F218" s="35">
        <v>0</v>
      </c>
      <c r="G218" s="3">
        <v>3</v>
      </c>
      <c r="H218" s="3"/>
      <c r="I218" s="3"/>
      <c r="J218" s="3"/>
      <c r="K218" s="58">
        <f>AVERAGE($F$218:$F$220)</f>
        <v>0</v>
      </c>
    </row>
    <row r="219" spans="1:11" x14ac:dyDescent="0.3">
      <c r="A219" s="53"/>
      <c r="B219" s="53"/>
      <c r="C219" s="3" t="s">
        <v>343</v>
      </c>
      <c r="D219" s="3" t="s">
        <v>193</v>
      </c>
      <c r="E219" s="3" t="s">
        <v>373</v>
      </c>
      <c r="F219" s="35">
        <v>0</v>
      </c>
      <c r="G219" s="3">
        <v>3</v>
      </c>
      <c r="H219" s="3"/>
      <c r="I219" s="3"/>
      <c r="J219" s="3"/>
      <c r="K219" s="53"/>
    </row>
    <row r="220" spans="1:11" x14ac:dyDescent="0.3">
      <c r="A220" s="53"/>
      <c r="B220" s="53"/>
      <c r="C220" s="3" t="s">
        <v>343</v>
      </c>
      <c r="D220" s="3" t="s">
        <v>193</v>
      </c>
      <c r="E220" s="3" t="s">
        <v>374</v>
      </c>
      <c r="F220" s="35">
        <v>0</v>
      </c>
      <c r="G220" s="3">
        <v>2</v>
      </c>
      <c r="H220" s="3"/>
      <c r="I220" s="3"/>
      <c r="J220" s="3"/>
      <c r="K220" s="53"/>
    </row>
    <row r="221" spans="1:11" x14ac:dyDescent="0.3">
      <c r="A221" s="55">
        <v>69</v>
      </c>
      <c r="B221" s="52" t="s">
        <v>375</v>
      </c>
      <c r="C221" s="2" t="s">
        <v>376</v>
      </c>
      <c r="D221" s="2" t="s">
        <v>377</v>
      </c>
      <c r="E221" s="2" t="s">
        <v>378</v>
      </c>
      <c r="F221" s="35">
        <v>0</v>
      </c>
      <c r="G221" s="2">
        <v>3</v>
      </c>
      <c r="H221" s="2"/>
      <c r="I221" s="2"/>
      <c r="J221" s="2"/>
      <c r="K221" s="58">
        <f>AVERAGE($F$221:$F$223)</f>
        <v>0</v>
      </c>
    </row>
    <row r="222" spans="1:11" x14ac:dyDescent="0.3">
      <c r="A222" s="53"/>
      <c r="B222" s="53"/>
      <c r="C222" s="2" t="s">
        <v>376</v>
      </c>
      <c r="D222" s="2" t="s">
        <v>377</v>
      </c>
      <c r="E222" s="2" t="s">
        <v>379</v>
      </c>
      <c r="F222" s="35">
        <v>0</v>
      </c>
      <c r="G222" s="2">
        <v>3</v>
      </c>
      <c r="H222" s="2"/>
      <c r="I222" s="2"/>
      <c r="J222" s="2"/>
      <c r="K222" s="53"/>
    </row>
    <row r="223" spans="1:11" x14ac:dyDescent="0.3">
      <c r="A223" s="53"/>
      <c r="B223" s="53"/>
      <c r="C223" s="2" t="s">
        <v>376</v>
      </c>
      <c r="D223" s="2" t="s">
        <v>377</v>
      </c>
      <c r="E223" s="2" t="s">
        <v>380</v>
      </c>
      <c r="F223" s="35">
        <v>0</v>
      </c>
      <c r="G223" s="2">
        <v>2</v>
      </c>
      <c r="H223" s="2"/>
      <c r="I223" s="2"/>
      <c r="J223" s="2"/>
      <c r="K223" s="53"/>
    </row>
    <row r="224" spans="1:11" x14ac:dyDescent="0.3">
      <c r="A224" s="56">
        <v>70</v>
      </c>
      <c r="B224" s="54" t="s">
        <v>381</v>
      </c>
      <c r="C224" s="3" t="s">
        <v>376</v>
      </c>
      <c r="D224" s="3" t="s">
        <v>377</v>
      </c>
      <c r="E224" s="3" t="s">
        <v>382</v>
      </c>
      <c r="F224" s="35">
        <v>0</v>
      </c>
      <c r="G224" s="3">
        <v>3</v>
      </c>
      <c r="H224" s="3"/>
      <c r="I224" s="3"/>
      <c r="J224" s="3"/>
      <c r="K224" s="58">
        <f>AVERAGE($F$224:$F$226)</f>
        <v>0</v>
      </c>
    </row>
    <row r="225" spans="1:11" x14ac:dyDescent="0.3">
      <c r="A225" s="53"/>
      <c r="B225" s="53"/>
      <c r="C225" s="3" t="s">
        <v>376</v>
      </c>
      <c r="D225" s="3" t="s">
        <v>377</v>
      </c>
      <c r="E225" s="3" t="s">
        <v>383</v>
      </c>
      <c r="F225" s="35">
        <v>0</v>
      </c>
      <c r="G225" s="3">
        <v>3</v>
      </c>
      <c r="H225" s="3"/>
      <c r="I225" s="3"/>
      <c r="J225" s="3"/>
      <c r="K225" s="53"/>
    </row>
    <row r="226" spans="1:11" x14ac:dyDescent="0.3">
      <c r="A226" s="53"/>
      <c r="B226" s="53"/>
      <c r="C226" s="3" t="s">
        <v>376</v>
      </c>
      <c r="D226" s="3" t="s">
        <v>377</v>
      </c>
      <c r="E226" s="3" t="s">
        <v>384</v>
      </c>
      <c r="F226" s="35">
        <v>0</v>
      </c>
      <c r="G226" s="3">
        <v>2</v>
      </c>
      <c r="H226" s="3"/>
      <c r="I226" s="3"/>
      <c r="J226" s="3"/>
      <c r="K226" s="53"/>
    </row>
    <row r="227" spans="1:11" x14ac:dyDescent="0.3">
      <c r="A227" s="55">
        <v>71</v>
      </c>
      <c r="B227" s="52" t="s">
        <v>385</v>
      </c>
      <c r="C227" s="2" t="s">
        <v>376</v>
      </c>
      <c r="D227" s="2" t="s">
        <v>377</v>
      </c>
      <c r="E227" s="2" t="s">
        <v>386</v>
      </c>
      <c r="F227" s="35">
        <v>0</v>
      </c>
      <c r="G227" s="2">
        <v>3</v>
      </c>
      <c r="H227" s="2"/>
      <c r="I227" s="2"/>
      <c r="J227" s="2"/>
      <c r="K227" s="58">
        <f>AVERAGE($F$227:$F$229)</f>
        <v>0</v>
      </c>
    </row>
    <row r="228" spans="1:11" x14ac:dyDescent="0.3">
      <c r="A228" s="53"/>
      <c r="B228" s="53"/>
      <c r="C228" s="2" t="s">
        <v>376</v>
      </c>
      <c r="D228" s="2" t="s">
        <v>377</v>
      </c>
      <c r="E228" s="2" t="s">
        <v>387</v>
      </c>
      <c r="F228" s="35">
        <v>0</v>
      </c>
      <c r="G228" s="2">
        <v>3</v>
      </c>
      <c r="H228" s="2"/>
      <c r="I228" s="2"/>
      <c r="J228" s="2"/>
      <c r="K228" s="53"/>
    </row>
    <row r="229" spans="1:11" x14ac:dyDescent="0.3">
      <c r="A229" s="53"/>
      <c r="B229" s="53"/>
      <c r="C229" s="2" t="s">
        <v>376</v>
      </c>
      <c r="D229" s="2" t="s">
        <v>377</v>
      </c>
      <c r="E229" s="2" t="s">
        <v>388</v>
      </c>
      <c r="F229" s="35">
        <v>0</v>
      </c>
      <c r="G229" s="2">
        <v>2</v>
      </c>
      <c r="H229" s="2"/>
      <c r="I229" s="2"/>
      <c r="J229" s="2"/>
      <c r="K229" s="53"/>
    </row>
    <row r="230" spans="1:11" x14ac:dyDescent="0.3">
      <c r="A230" s="56">
        <v>72</v>
      </c>
      <c r="B230" s="54" t="s">
        <v>389</v>
      </c>
      <c r="C230" s="3" t="s">
        <v>376</v>
      </c>
      <c r="D230" s="3" t="s">
        <v>377</v>
      </c>
      <c r="E230" s="3" t="s">
        <v>390</v>
      </c>
      <c r="F230" s="35">
        <v>0</v>
      </c>
      <c r="G230" s="3">
        <v>3</v>
      </c>
      <c r="H230" s="3"/>
      <c r="I230" s="3"/>
      <c r="J230" s="3"/>
      <c r="K230" s="58">
        <f>AVERAGE($F$230:$F$232)</f>
        <v>0</v>
      </c>
    </row>
    <row r="231" spans="1:11" x14ac:dyDescent="0.3">
      <c r="A231" s="53"/>
      <c r="B231" s="53"/>
      <c r="C231" s="3" t="s">
        <v>376</v>
      </c>
      <c r="D231" s="3" t="s">
        <v>377</v>
      </c>
      <c r="E231" s="3" t="s">
        <v>391</v>
      </c>
      <c r="F231" s="35">
        <v>0</v>
      </c>
      <c r="G231" s="3">
        <v>3</v>
      </c>
      <c r="H231" s="3"/>
      <c r="I231" s="3"/>
      <c r="J231" s="3"/>
      <c r="K231" s="53"/>
    </row>
    <row r="232" spans="1:11" x14ac:dyDescent="0.3">
      <c r="A232" s="53"/>
      <c r="B232" s="53"/>
      <c r="C232" s="3" t="s">
        <v>376</v>
      </c>
      <c r="D232" s="3" t="s">
        <v>377</v>
      </c>
      <c r="E232" s="3" t="s">
        <v>392</v>
      </c>
      <c r="F232" s="35">
        <v>0</v>
      </c>
      <c r="G232" s="3">
        <v>2</v>
      </c>
      <c r="H232" s="3"/>
      <c r="I232" s="3"/>
      <c r="J232" s="3"/>
      <c r="K232" s="53"/>
    </row>
    <row r="233" spans="1:11" x14ac:dyDescent="0.3">
      <c r="A233" s="55">
        <v>73</v>
      </c>
      <c r="B233" s="52" t="s">
        <v>393</v>
      </c>
      <c r="C233" s="2" t="s">
        <v>376</v>
      </c>
      <c r="D233" s="2" t="s">
        <v>377</v>
      </c>
      <c r="E233" s="2" t="s">
        <v>394</v>
      </c>
      <c r="F233" s="35">
        <v>0</v>
      </c>
      <c r="G233" s="2">
        <v>3</v>
      </c>
      <c r="H233" s="2"/>
      <c r="I233" s="2"/>
      <c r="J233" s="2"/>
      <c r="K233" s="58">
        <f>AVERAGE($F$233:$F$235)</f>
        <v>0</v>
      </c>
    </row>
    <row r="234" spans="1:11" x14ac:dyDescent="0.3">
      <c r="A234" s="53"/>
      <c r="B234" s="53"/>
      <c r="C234" s="2" t="s">
        <v>376</v>
      </c>
      <c r="D234" s="2" t="s">
        <v>377</v>
      </c>
      <c r="E234" s="2" t="s">
        <v>395</v>
      </c>
      <c r="F234" s="35">
        <v>0</v>
      </c>
      <c r="G234" s="2">
        <v>3</v>
      </c>
      <c r="H234" s="2"/>
      <c r="I234" s="2"/>
      <c r="J234" s="2"/>
      <c r="K234" s="53"/>
    </row>
    <row r="235" spans="1:11" x14ac:dyDescent="0.3">
      <c r="A235" s="53"/>
      <c r="B235" s="53"/>
      <c r="C235" s="2" t="s">
        <v>376</v>
      </c>
      <c r="D235" s="2" t="s">
        <v>377</v>
      </c>
      <c r="E235" s="2" t="s">
        <v>396</v>
      </c>
      <c r="F235" s="35">
        <v>0</v>
      </c>
      <c r="G235" s="2">
        <v>2</v>
      </c>
      <c r="H235" s="2"/>
      <c r="I235" s="2"/>
      <c r="J235" s="2"/>
      <c r="K235" s="53"/>
    </row>
    <row r="236" spans="1:11" x14ac:dyDescent="0.3">
      <c r="A236" s="56">
        <v>74</v>
      </c>
      <c r="B236" s="54" t="s">
        <v>397</v>
      </c>
      <c r="C236" s="3" t="s">
        <v>376</v>
      </c>
      <c r="D236" s="3" t="s">
        <v>377</v>
      </c>
      <c r="E236" s="3" t="s">
        <v>205</v>
      </c>
      <c r="F236" s="35">
        <v>0</v>
      </c>
      <c r="G236" s="3">
        <v>4</v>
      </c>
      <c r="H236" s="3"/>
      <c r="I236" s="3"/>
      <c r="J236" s="3"/>
      <c r="K236" s="58">
        <f>AVERAGE($F$236:$F$237)</f>
        <v>0</v>
      </c>
    </row>
    <row r="237" spans="1:11" x14ac:dyDescent="0.3">
      <c r="A237" s="53"/>
      <c r="B237" s="53"/>
      <c r="C237" s="3" t="s">
        <v>376</v>
      </c>
      <c r="D237" s="3" t="s">
        <v>377</v>
      </c>
      <c r="E237" s="3" t="s">
        <v>398</v>
      </c>
      <c r="F237" s="35">
        <v>0</v>
      </c>
      <c r="G237" s="3">
        <v>4</v>
      </c>
      <c r="H237" s="3"/>
      <c r="I237" s="3"/>
      <c r="J237" s="3"/>
      <c r="K237" s="53"/>
    </row>
    <row r="238" spans="1:11" x14ac:dyDescent="0.3">
      <c r="A238" s="55">
        <v>75</v>
      </c>
      <c r="B238" s="52" t="s">
        <v>399</v>
      </c>
      <c r="C238" s="2" t="s">
        <v>376</v>
      </c>
      <c r="D238" s="2" t="s">
        <v>377</v>
      </c>
      <c r="E238" s="2" t="s">
        <v>80</v>
      </c>
      <c r="F238" s="35">
        <v>0</v>
      </c>
      <c r="G238" s="2">
        <v>3</v>
      </c>
      <c r="H238" s="2"/>
      <c r="I238" s="2"/>
      <c r="J238" s="2"/>
      <c r="K238" s="58">
        <f>AVERAGE($F$238:$F$240)</f>
        <v>0</v>
      </c>
    </row>
    <row r="239" spans="1:11" x14ac:dyDescent="0.3">
      <c r="A239" s="53"/>
      <c r="B239" s="53"/>
      <c r="C239" s="2" t="s">
        <v>376</v>
      </c>
      <c r="D239" s="2" t="s">
        <v>377</v>
      </c>
      <c r="E239" s="2" t="s">
        <v>400</v>
      </c>
      <c r="F239" s="35">
        <v>0</v>
      </c>
      <c r="G239" s="2">
        <v>3</v>
      </c>
      <c r="H239" s="2"/>
      <c r="I239" s="2"/>
      <c r="J239" s="2"/>
      <c r="K239" s="53"/>
    </row>
    <row r="240" spans="1:11" x14ac:dyDescent="0.3">
      <c r="A240" s="53"/>
      <c r="B240" s="53"/>
      <c r="C240" s="2" t="s">
        <v>376</v>
      </c>
      <c r="D240" s="2" t="s">
        <v>377</v>
      </c>
      <c r="E240" s="2" t="s">
        <v>401</v>
      </c>
      <c r="F240" s="35">
        <v>0</v>
      </c>
      <c r="G240" s="2">
        <v>2</v>
      </c>
      <c r="H240" s="2"/>
      <c r="I240" s="2"/>
      <c r="J240" s="2"/>
      <c r="K240" s="53"/>
    </row>
    <row r="241" spans="1:11" x14ac:dyDescent="0.3">
      <c r="A241" s="56">
        <v>76</v>
      </c>
      <c r="B241" s="54" t="s">
        <v>402</v>
      </c>
      <c r="C241" s="3" t="s">
        <v>376</v>
      </c>
      <c r="D241" s="3" t="s">
        <v>403</v>
      </c>
      <c r="E241" s="3" t="s">
        <v>404</v>
      </c>
      <c r="F241" s="35">
        <v>0</v>
      </c>
      <c r="G241" s="3">
        <v>3</v>
      </c>
      <c r="H241" s="3"/>
      <c r="I241" s="3"/>
      <c r="J241" s="3"/>
      <c r="K241" s="58">
        <f>AVERAGE($F$241:$F$243)</f>
        <v>0</v>
      </c>
    </row>
    <row r="242" spans="1:11" x14ac:dyDescent="0.3">
      <c r="A242" s="53"/>
      <c r="B242" s="53"/>
      <c r="C242" s="3" t="s">
        <v>376</v>
      </c>
      <c r="D242" s="3" t="s">
        <v>403</v>
      </c>
      <c r="E242" s="3" t="s">
        <v>405</v>
      </c>
      <c r="F242" s="35">
        <v>0</v>
      </c>
      <c r="G242" s="3">
        <v>3</v>
      </c>
      <c r="H242" s="3"/>
      <c r="I242" s="3"/>
      <c r="J242" s="3"/>
      <c r="K242" s="53"/>
    </row>
    <row r="243" spans="1:11" x14ac:dyDescent="0.3">
      <c r="A243" s="53"/>
      <c r="B243" s="53"/>
      <c r="C243" s="3" t="s">
        <v>376</v>
      </c>
      <c r="D243" s="3" t="s">
        <v>403</v>
      </c>
      <c r="E243" s="3" t="s">
        <v>406</v>
      </c>
      <c r="F243" s="35">
        <v>0</v>
      </c>
      <c r="G243" s="3">
        <v>2</v>
      </c>
      <c r="H243" s="3"/>
      <c r="I243" s="3"/>
      <c r="J243" s="3"/>
      <c r="K243" s="53"/>
    </row>
    <row r="244" spans="1:11" x14ac:dyDescent="0.3">
      <c r="A244" s="55">
        <v>77</v>
      </c>
      <c r="B244" s="52" t="s">
        <v>407</v>
      </c>
      <c r="C244" s="2" t="s">
        <v>376</v>
      </c>
      <c r="D244" s="2" t="s">
        <v>403</v>
      </c>
      <c r="E244" s="2" t="s">
        <v>365</v>
      </c>
      <c r="F244" s="35">
        <v>0</v>
      </c>
      <c r="G244" s="2">
        <v>2</v>
      </c>
      <c r="H244" s="2"/>
      <c r="I244" s="2"/>
      <c r="J244" s="2"/>
      <c r="K244" s="58">
        <f>AVERAGE($F$244:$F$246)</f>
        <v>0</v>
      </c>
    </row>
    <row r="245" spans="1:11" x14ac:dyDescent="0.3">
      <c r="A245" s="53"/>
      <c r="B245" s="53"/>
      <c r="C245" s="2" t="s">
        <v>376</v>
      </c>
      <c r="D245" s="2" t="s">
        <v>403</v>
      </c>
      <c r="E245" s="2" t="s">
        <v>408</v>
      </c>
      <c r="F245" s="35">
        <v>0</v>
      </c>
      <c r="G245" s="2">
        <v>3</v>
      </c>
      <c r="H245" s="2"/>
      <c r="I245" s="2"/>
      <c r="J245" s="2"/>
      <c r="K245" s="53"/>
    </row>
    <row r="246" spans="1:11" x14ac:dyDescent="0.3">
      <c r="A246" s="53"/>
      <c r="B246" s="53"/>
      <c r="C246" s="2" t="s">
        <v>376</v>
      </c>
      <c r="D246" s="2" t="s">
        <v>403</v>
      </c>
      <c r="E246" s="2" t="s">
        <v>409</v>
      </c>
      <c r="F246" s="35">
        <v>0</v>
      </c>
      <c r="G246" s="2">
        <v>3</v>
      </c>
      <c r="H246" s="2"/>
      <c r="I246" s="2"/>
      <c r="J246" s="2"/>
      <c r="K246" s="53"/>
    </row>
    <row r="247" spans="1:11" x14ac:dyDescent="0.3">
      <c r="A247" s="56">
        <v>78</v>
      </c>
      <c r="B247" s="54" t="s">
        <v>410</v>
      </c>
      <c r="C247" s="3" t="s">
        <v>376</v>
      </c>
      <c r="D247" s="3" t="s">
        <v>403</v>
      </c>
      <c r="E247" s="3" t="s">
        <v>411</v>
      </c>
      <c r="F247" s="35">
        <v>0</v>
      </c>
      <c r="G247" s="3">
        <v>3</v>
      </c>
      <c r="H247" s="3"/>
      <c r="I247" s="3"/>
      <c r="J247" s="3"/>
      <c r="K247" s="58">
        <f>AVERAGE($F$247:$F$249)</f>
        <v>0</v>
      </c>
    </row>
    <row r="248" spans="1:11" x14ac:dyDescent="0.3">
      <c r="A248" s="53"/>
      <c r="B248" s="53"/>
      <c r="C248" s="3" t="s">
        <v>376</v>
      </c>
      <c r="D248" s="3" t="s">
        <v>403</v>
      </c>
      <c r="E248" s="3" t="s">
        <v>380</v>
      </c>
      <c r="F248" s="35">
        <v>0</v>
      </c>
      <c r="G248" s="3">
        <v>3</v>
      </c>
      <c r="H248" s="3"/>
      <c r="I248" s="3"/>
      <c r="J248" s="3"/>
      <c r="K248" s="53"/>
    </row>
    <row r="249" spans="1:11" x14ac:dyDescent="0.3">
      <c r="A249" s="53"/>
      <c r="B249" s="53"/>
      <c r="C249" s="3" t="s">
        <v>376</v>
      </c>
      <c r="D249" s="3" t="s">
        <v>403</v>
      </c>
      <c r="E249" s="3" t="s">
        <v>412</v>
      </c>
      <c r="F249" s="35">
        <v>0</v>
      </c>
      <c r="G249" s="3">
        <v>2</v>
      </c>
      <c r="H249" s="3"/>
      <c r="I249" s="3"/>
      <c r="J249" s="3"/>
      <c r="K249" s="53"/>
    </row>
    <row r="250" spans="1:11" x14ac:dyDescent="0.3">
      <c r="A250" s="55">
        <v>79</v>
      </c>
      <c r="B250" s="52" t="s">
        <v>413</v>
      </c>
      <c r="C250" s="2" t="s">
        <v>376</v>
      </c>
      <c r="D250" s="2" t="s">
        <v>403</v>
      </c>
      <c r="E250" s="2" t="s">
        <v>414</v>
      </c>
      <c r="F250" s="35">
        <v>0</v>
      </c>
      <c r="G250" s="2">
        <v>3</v>
      </c>
      <c r="H250" s="2"/>
      <c r="I250" s="2"/>
      <c r="J250" s="2"/>
      <c r="K250" s="58">
        <f>AVERAGE($F$250:$F$252)</f>
        <v>0</v>
      </c>
    </row>
    <row r="251" spans="1:11" x14ac:dyDescent="0.3">
      <c r="A251" s="53"/>
      <c r="B251" s="53"/>
      <c r="C251" s="2" t="s">
        <v>376</v>
      </c>
      <c r="D251" s="2" t="s">
        <v>403</v>
      </c>
      <c r="E251" s="2" t="s">
        <v>415</v>
      </c>
      <c r="F251" s="35">
        <v>0</v>
      </c>
      <c r="G251" s="2">
        <v>3</v>
      </c>
      <c r="H251" s="2"/>
      <c r="I251" s="2"/>
      <c r="J251" s="2"/>
      <c r="K251" s="53"/>
    </row>
    <row r="252" spans="1:11" x14ac:dyDescent="0.3">
      <c r="A252" s="53"/>
      <c r="B252" s="53"/>
      <c r="C252" s="2" t="s">
        <v>376</v>
      </c>
      <c r="D252" s="2" t="s">
        <v>403</v>
      </c>
      <c r="E252" s="2" t="s">
        <v>416</v>
      </c>
      <c r="F252" s="35">
        <v>0</v>
      </c>
      <c r="G252" s="2">
        <v>2</v>
      </c>
      <c r="H252" s="2"/>
      <c r="I252" s="2"/>
      <c r="J252" s="2"/>
      <c r="K252" s="53"/>
    </row>
    <row r="253" spans="1:11" x14ac:dyDescent="0.3">
      <c r="A253" s="56">
        <v>80</v>
      </c>
      <c r="B253" s="54" t="s">
        <v>417</v>
      </c>
      <c r="C253" s="3" t="s">
        <v>376</v>
      </c>
      <c r="D253" s="3" t="s">
        <v>403</v>
      </c>
      <c r="E253" s="3" t="s">
        <v>418</v>
      </c>
      <c r="F253" s="35">
        <v>0</v>
      </c>
      <c r="G253" s="3">
        <v>3</v>
      </c>
      <c r="H253" s="3"/>
      <c r="I253" s="3"/>
      <c r="J253" s="3"/>
      <c r="K253" s="58">
        <f>AVERAGE($F$253:$F$255)</f>
        <v>0</v>
      </c>
    </row>
    <row r="254" spans="1:11" x14ac:dyDescent="0.3">
      <c r="A254" s="53"/>
      <c r="B254" s="53"/>
      <c r="C254" s="3" t="s">
        <v>376</v>
      </c>
      <c r="D254" s="3" t="s">
        <v>403</v>
      </c>
      <c r="E254" s="3" t="s">
        <v>370</v>
      </c>
      <c r="F254" s="35">
        <v>0</v>
      </c>
      <c r="G254" s="3">
        <v>3</v>
      </c>
      <c r="H254" s="3"/>
      <c r="I254" s="3"/>
      <c r="J254" s="3"/>
      <c r="K254" s="53"/>
    </row>
    <row r="255" spans="1:11" x14ac:dyDescent="0.3">
      <c r="A255" s="53"/>
      <c r="B255" s="53"/>
      <c r="C255" s="3" t="s">
        <v>376</v>
      </c>
      <c r="D255" s="3" t="s">
        <v>403</v>
      </c>
      <c r="E255" s="3" t="s">
        <v>419</v>
      </c>
      <c r="F255" s="35">
        <v>0</v>
      </c>
      <c r="G255" s="3">
        <v>2</v>
      </c>
      <c r="H255" s="3"/>
      <c r="I255" s="3"/>
      <c r="J255" s="3"/>
      <c r="K255" s="53"/>
    </row>
    <row r="256" spans="1:11" x14ac:dyDescent="0.3">
      <c r="A256" s="55">
        <v>81</v>
      </c>
      <c r="B256" s="52" t="s">
        <v>420</v>
      </c>
      <c r="C256" s="2" t="s">
        <v>376</v>
      </c>
      <c r="D256" s="2" t="s">
        <v>403</v>
      </c>
      <c r="E256" s="2" t="s">
        <v>205</v>
      </c>
      <c r="F256" s="35">
        <v>0</v>
      </c>
      <c r="G256" s="2">
        <v>4</v>
      </c>
      <c r="H256" s="2"/>
      <c r="I256" s="2"/>
      <c r="J256" s="2"/>
      <c r="K256" s="58">
        <f>AVERAGE($F$256:$F$257)</f>
        <v>0</v>
      </c>
    </row>
    <row r="257" spans="1:11" x14ac:dyDescent="0.3">
      <c r="A257" s="53"/>
      <c r="B257" s="53"/>
      <c r="C257" s="2" t="s">
        <v>376</v>
      </c>
      <c r="D257" s="2" t="s">
        <v>403</v>
      </c>
      <c r="E257" s="2" t="s">
        <v>374</v>
      </c>
      <c r="F257" s="35">
        <v>0</v>
      </c>
      <c r="G257" s="2">
        <v>4</v>
      </c>
      <c r="H257" s="2"/>
      <c r="I257" s="2"/>
      <c r="J257" s="2"/>
      <c r="K257" s="53"/>
    </row>
    <row r="258" spans="1:11" x14ac:dyDescent="0.3">
      <c r="A258" s="56">
        <v>82</v>
      </c>
      <c r="B258" s="54" t="s">
        <v>421</v>
      </c>
      <c r="C258" s="3" t="s">
        <v>376</v>
      </c>
      <c r="D258" s="3" t="s">
        <v>403</v>
      </c>
      <c r="E258" s="3" t="s">
        <v>80</v>
      </c>
      <c r="F258" s="35">
        <v>0</v>
      </c>
      <c r="G258" s="3">
        <v>3</v>
      </c>
      <c r="H258" s="3"/>
      <c r="I258" s="3"/>
      <c r="J258" s="3" t="s">
        <v>422</v>
      </c>
      <c r="K258" s="58">
        <f>AVERAGE($F$258:$F$260)</f>
        <v>0</v>
      </c>
    </row>
    <row r="259" spans="1:11" x14ac:dyDescent="0.3">
      <c r="A259" s="53"/>
      <c r="B259" s="53"/>
      <c r="C259" s="3" t="s">
        <v>376</v>
      </c>
      <c r="D259" s="3" t="s">
        <v>403</v>
      </c>
      <c r="E259" s="3" t="s">
        <v>400</v>
      </c>
      <c r="F259" s="35">
        <v>0</v>
      </c>
      <c r="G259" s="3">
        <v>3</v>
      </c>
      <c r="H259" s="3"/>
      <c r="I259" s="3"/>
      <c r="J259" s="3"/>
      <c r="K259" s="53"/>
    </row>
    <row r="260" spans="1:11" x14ac:dyDescent="0.3">
      <c r="A260" s="53"/>
      <c r="B260" s="53"/>
      <c r="C260" s="3" t="s">
        <v>376</v>
      </c>
      <c r="D260" s="3" t="s">
        <v>403</v>
      </c>
      <c r="E260" s="3" t="s">
        <v>423</v>
      </c>
      <c r="F260" s="35">
        <v>0</v>
      </c>
      <c r="G260" s="3">
        <v>2</v>
      </c>
      <c r="H260" s="3"/>
      <c r="I260" s="3"/>
      <c r="J260" s="3"/>
      <c r="K260" s="53"/>
    </row>
    <row r="261" spans="1:11" x14ac:dyDescent="0.3">
      <c r="A261" s="55">
        <v>83</v>
      </c>
      <c r="B261" s="52" t="s">
        <v>424</v>
      </c>
      <c r="C261" s="2" t="s">
        <v>376</v>
      </c>
      <c r="D261" s="2" t="s">
        <v>425</v>
      </c>
      <c r="E261" s="2" t="s">
        <v>426</v>
      </c>
      <c r="F261" s="35">
        <v>0</v>
      </c>
      <c r="G261" s="2">
        <v>3</v>
      </c>
      <c r="H261" s="2"/>
      <c r="I261" s="2"/>
      <c r="J261" s="2"/>
      <c r="K261" s="58">
        <f>AVERAGE($F$261:$F$263)</f>
        <v>0</v>
      </c>
    </row>
    <row r="262" spans="1:11" x14ac:dyDescent="0.3">
      <c r="A262" s="53"/>
      <c r="B262" s="53"/>
      <c r="C262" s="2" t="s">
        <v>376</v>
      </c>
      <c r="D262" s="2" t="s">
        <v>425</v>
      </c>
      <c r="E262" s="2" t="s">
        <v>427</v>
      </c>
      <c r="F262" s="35">
        <v>0</v>
      </c>
      <c r="G262" s="2">
        <v>3</v>
      </c>
      <c r="H262" s="2"/>
      <c r="I262" s="2"/>
      <c r="J262" s="2"/>
      <c r="K262" s="53"/>
    </row>
    <row r="263" spans="1:11" x14ac:dyDescent="0.3">
      <c r="A263" s="53"/>
      <c r="B263" s="53"/>
      <c r="C263" s="2" t="s">
        <v>376</v>
      </c>
      <c r="D263" s="2" t="s">
        <v>425</v>
      </c>
      <c r="E263" s="2" t="s">
        <v>428</v>
      </c>
      <c r="F263" s="35">
        <v>0</v>
      </c>
      <c r="G263" s="2">
        <v>2</v>
      </c>
      <c r="H263" s="2"/>
      <c r="I263" s="2"/>
      <c r="J263" s="2"/>
      <c r="K263" s="53"/>
    </row>
    <row r="264" spans="1:11" x14ac:dyDescent="0.3">
      <c r="A264" s="56">
        <v>84</v>
      </c>
      <c r="B264" s="54" t="s">
        <v>429</v>
      </c>
      <c r="C264" s="3" t="s">
        <v>376</v>
      </c>
      <c r="D264" s="3" t="s">
        <v>425</v>
      </c>
      <c r="E264" s="3" t="s">
        <v>430</v>
      </c>
      <c r="F264" s="35">
        <v>0</v>
      </c>
      <c r="G264" s="3">
        <v>3</v>
      </c>
      <c r="H264" s="3"/>
      <c r="I264" s="3"/>
      <c r="J264" s="3"/>
      <c r="K264" s="58">
        <f>AVERAGE($F$264:$F$266)</f>
        <v>0</v>
      </c>
    </row>
    <row r="265" spans="1:11" x14ac:dyDescent="0.3">
      <c r="A265" s="53"/>
      <c r="B265" s="53"/>
      <c r="C265" s="3" t="s">
        <v>376</v>
      </c>
      <c r="D265" s="3" t="s">
        <v>425</v>
      </c>
      <c r="E265" s="3" t="s">
        <v>431</v>
      </c>
      <c r="F265" s="35">
        <v>0</v>
      </c>
      <c r="G265" s="3">
        <v>3</v>
      </c>
      <c r="H265" s="3"/>
      <c r="I265" s="3"/>
      <c r="J265" s="3"/>
      <c r="K265" s="53"/>
    </row>
    <row r="266" spans="1:11" x14ac:dyDescent="0.3">
      <c r="A266" s="53"/>
      <c r="B266" s="53"/>
      <c r="C266" s="3" t="s">
        <v>376</v>
      </c>
      <c r="D266" s="3" t="s">
        <v>425</v>
      </c>
      <c r="E266" s="3" t="s">
        <v>432</v>
      </c>
      <c r="F266" s="35">
        <v>0</v>
      </c>
      <c r="G266" s="3">
        <v>2</v>
      </c>
      <c r="H266" s="3"/>
      <c r="I266" s="3"/>
      <c r="J266" s="3"/>
      <c r="K266" s="53"/>
    </row>
    <row r="267" spans="1:11" x14ac:dyDescent="0.3">
      <c r="A267" s="55">
        <v>85</v>
      </c>
      <c r="B267" s="52" t="s">
        <v>433</v>
      </c>
      <c r="C267" s="2" t="s">
        <v>376</v>
      </c>
      <c r="D267" s="2" t="s">
        <v>434</v>
      </c>
      <c r="E267" s="2" t="s">
        <v>435</v>
      </c>
      <c r="F267" s="35">
        <v>0</v>
      </c>
      <c r="G267" s="2">
        <v>3</v>
      </c>
      <c r="H267" s="2"/>
      <c r="I267" s="2"/>
      <c r="J267" s="2"/>
      <c r="K267" s="58">
        <f>AVERAGE($F$267:$F$269)</f>
        <v>0</v>
      </c>
    </row>
    <row r="268" spans="1:11" x14ac:dyDescent="0.3">
      <c r="A268" s="53"/>
      <c r="B268" s="53"/>
      <c r="C268" s="2" t="s">
        <v>376</v>
      </c>
      <c r="D268" s="2" t="s">
        <v>434</v>
      </c>
      <c r="E268" s="2" t="s">
        <v>436</v>
      </c>
      <c r="F268" s="35">
        <v>0</v>
      </c>
      <c r="G268" s="2">
        <v>3</v>
      </c>
      <c r="H268" s="2"/>
      <c r="I268" s="2"/>
      <c r="J268" s="2"/>
      <c r="K268" s="53"/>
    </row>
    <row r="269" spans="1:11" x14ac:dyDescent="0.3">
      <c r="A269" s="53"/>
      <c r="B269" s="53"/>
      <c r="C269" s="2" t="s">
        <v>376</v>
      </c>
      <c r="D269" s="2" t="s">
        <v>434</v>
      </c>
      <c r="E269" s="2" t="s">
        <v>437</v>
      </c>
      <c r="F269" s="35">
        <v>0</v>
      </c>
      <c r="G269" s="2">
        <v>2</v>
      </c>
      <c r="H269" s="2"/>
      <c r="I269" s="2"/>
      <c r="J269" s="2"/>
      <c r="K269" s="53"/>
    </row>
    <row r="270" spans="1:11" x14ac:dyDescent="0.3">
      <c r="A270" s="56">
        <v>86</v>
      </c>
      <c r="B270" s="54" t="s">
        <v>438</v>
      </c>
      <c r="C270" s="3" t="s">
        <v>376</v>
      </c>
      <c r="D270" s="3" t="s">
        <v>434</v>
      </c>
      <c r="E270" s="3" t="s">
        <v>439</v>
      </c>
      <c r="F270" s="35">
        <v>0</v>
      </c>
      <c r="G270" s="3">
        <v>3</v>
      </c>
      <c r="H270" s="3"/>
      <c r="I270" s="3"/>
      <c r="J270" s="3"/>
      <c r="K270" s="58">
        <f>AVERAGE($F$270:$F$272)</f>
        <v>0</v>
      </c>
    </row>
    <row r="271" spans="1:11" x14ac:dyDescent="0.3">
      <c r="A271" s="53"/>
      <c r="B271" s="53"/>
      <c r="C271" s="3" t="s">
        <v>376</v>
      </c>
      <c r="D271" s="3" t="s">
        <v>434</v>
      </c>
      <c r="E271" s="3" t="s">
        <v>440</v>
      </c>
      <c r="F271" s="35">
        <v>0</v>
      </c>
      <c r="G271" s="3">
        <v>3</v>
      </c>
      <c r="H271" s="3"/>
      <c r="I271" s="3"/>
      <c r="J271" s="3"/>
      <c r="K271" s="53"/>
    </row>
    <row r="272" spans="1:11" x14ac:dyDescent="0.3">
      <c r="A272" s="53"/>
      <c r="B272" s="53"/>
      <c r="C272" s="3" t="s">
        <v>376</v>
      </c>
      <c r="D272" s="3" t="s">
        <v>434</v>
      </c>
      <c r="E272" s="3" t="s">
        <v>380</v>
      </c>
      <c r="F272" s="35">
        <v>0</v>
      </c>
      <c r="G272" s="3">
        <v>2</v>
      </c>
      <c r="H272" s="3"/>
      <c r="I272" s="3"/>
      <c r="J272" s="3"/>
      <c r="K272" s="53"/>
    </row>
    <row r="273" spans="1:11" x14ac:dyDescent="0.3">
      <c r="A273" s="55">
        <v>87</v>
      </c>
      <c r="B273" s="52" t="s">
        <v>441</v>
      </c>
      <c r="C273" s="2" t="s">
        <v>298</v>
      </c>
      <c r="D273" s="2" t="s">
        <v>442</v>
      </c>
      <c r="E273" s="2" t="s">
        <v>443</v>
      </c>
      <c r="F273" s="35">
        <v>0</v>
      </c>
      <c r="G273" s="2">
        <v>3</v>
      </c>
      <c r="H273" s="2"/>
      <c r="I273" s="2"/>
      <c r="J273" s="2"/>
      <c r="K273" s="58">
        <f>AVERAGE($F$273:$F$275)</f>
        <v>0</v>
      </c>
    </row>
    <row r="274" spans="1:11" x14ac:dyDescent="0.3">
      <c r="A274" s="53"/>
      <c r="B274" s="53"/>
      <c r="C274" s="2" t="s">
        <v>298</v>
      </c>
      <c r="D274" s="2" t="s">
        <v>442</v>
      </c>
      <c r="E274" s="2" t="s">
        <v>444</v>
      </c>
      <c r="F274" s="35">
        <v>0</v>
      </c>
      <c r="G274" s="2">
        <v>3</v>
      </c>
      <c r="H274" s="2"/>
      <c r="I274" s="2"/>
      <c r="J274" s="2"/>
      <c r="K274" s="53"/>
    </row>
    <row r="275" spans="1:11" x14ac:dyDescent="0.3">
      <c r="A275" s="53"/>
      <c r="B275" s="53"/>
      <c r="C275" s="2" t="s">
        <v>298</v>
      </c>
      <c r="D275" s="2" t="s">
        <v>442</v>
      </c>
      <c r="E275" s="2" t="s">
        <v>445</v>
      </c>
      <c r="F275" s="35">
        <v>0</v>
      </c>
      <c r="G275" s="2">
        <v>2</v>
      </c>
      <c r="H275" s="2"/>
      <c r="I275" s="2"/>
      <c r="J275" s="2"/>
      <c r="K275" s="53"/>
    </row>
    <row r="276" spans="1:11" x14ac:dyDescent="0.3">
      <c r="A276" s="56">
        <v>88</v>
      </c>
      <c r="B276" s="54" t="s">
        <v>446</v>
      </c>
      <c r="C276" s="3" t="s">
        <v>298</v>
      </c>
      <c r="D276" s="3" t="s">
        <v>447</v>
      </c>
      <c r="E276" s="3" t="s">
        <v>448</v>
      </c>
      <c r="F276" s="35">
        <v>0</v>
      </c>
      <c r="G276" s="3">
        <v>3</v>
      </c>
      <c r="H276" s="3"/>
      <c r="I276" s="3"/>
      <c r="J276" s="3"/>
      <c r="K276" s="58">
        <f>AVERAGE($F$276:$F$278)</f>
        <v>0</v>
      </c>
    </row>
    <row r="277" spans="1:11" x14ac:dyDescent="0.3">
      <c r="A277" s="53"/>
      <c r="B277" s="53"/>
      <c r="C277" s="3" t="s">
        <v>298</v>
      </c>
      <c r="D277" s="3" t="s">
        <v>447</v>
      </c>
      <c r="E277" s="3" t="s">
        <v>449</v>
      </c>
      <c r="F277" s="35">
        <v>0</v>
      </c>
      <c r="G277" s="3">
        <v>3</v>
      </c>
      <c r="H277" s="3"/>
      <c r="I277" s="3"/>
      <c r="J277" s="3"/>
      <c r="K277" s="53"/>
    </row>
    <row r="278" spans="1:11" x14ac:dyDescent="0.3">
      <c r="A278" s="53"/>
      <c r="B278" s="53"/>
      <c r="C278" s="3" t="s">
        <v>298</v>
      </c>
      <c r="D278" s="3" t="s">
        <v>447</v>
      </c>
      <c r="E278" s="3" t="s">
        <v>450</v>
      </c>
      <c r="F278" s="35">
        <v>0</v>
      </c>
      <c r="G278" s="3">
        <v>2</v>
      </c>
      <c r="H278" s="3"/>
      <c r="I278" s="3"/>
      <c r="J278" s="3"/>
      <c r="K278" s="53"/>
    </row>
    <row r="279" spans="1:11" x14ac:dyDescent="0.3">
      <c r="A279" s="55">
        <v>89</v>
      </c>
      <c r="B279" s="52" t="s">
        <v>451</v>
      </c>
      <c r="C279" s="2" t="s">
        <v>298</v>
      </c>
      <c r="D279" s="2" t="s">
        <v>447</v>
      </c>
      <c r="E279" s="2" t="s">
        <v>452</v>
      </c>
      <c r="F279" s="35">
        <v>0</v>
      </c>
      <c r="G279" s="2">
        <v>3</v>
      </c>
      <c r="H279" s="2"/>
      <c r="I279" s="2"/>
      <c r="J279" s="2"/>
      <c r="K279" s="58">
        <f>AVERAGE($F$279:$F$281)</f>
        <v>0</v>
      </c>
    </row>
    <row r="280" spans="1:11" x14ac:dyDescent="0.3">
      <c r="A280" s="53"/>
      <c r="B280" s="53"/>
      <c r="C280" s="2" t="s">
        <v>298</v>
      </c>
      <c r="D280" s="2" t="s">
        <v>447</v>
      </c>
      <c r="E280" s="2" t="s">
        <v>453</v>
      </c>
      <c r="F280" s="35">
        <v>0</v>
      </c>
      <c r="G280" s="2">
        <v>3</v>
      </c>
      <c r="H280" s="2"/>
      <c r="I280" s="2"/>
      <c r="J280" s="2"/>
      <c r="K280" s="53"/>
    </row>
    <row r="281" spans="1:11" x14ac:dyDescent="0.3">
      <c r="A281" s="53"/>
      <c r="B281" s="53"/>
      <c r="C281" s="2" t="s">
        <v>298</v>
      </c>
      <c r="D281" s="2" t="s">
        <v>447</v>
      </c>
      <c r="E281" s="2" t="s">
        <v>454</v>
      </c>
      <c r="F281" s="35">
        <v>0</v>
      </c>
      <c r="G281" s="2">
        <v>2</v>
      </c>
      <c r="H281" s="2"/>
      <c r="I281" s="2"/>
      <c r="J281" s="2"/>
      <c r="K281" s="53"/>
    </row>
    <row r="282" spans="1:11" x14ac:dyDescent="0.3">
      <c r="A282" s="56">
        <v>90</v>
      </c>
      <c r="B282" s="54" t="s">
        <v>455</v>
      </c>
      <c r="C282" s="3" t="s">
        <v>456</v>
      </c>
      <c r="D282" s="3" t="s">
        <v>457</v>
      </c>
      <c r="E282" s="3" t="s">
        <v>458</v>
      </c>
      <c r="F282" s="35">
        <v>0</v>
      </c>
      <c r="G282" s="3">
        <v>3</v>
      </c>
      <c r="H282" s="3"/>
      <c r="I282" s="3"/>
      <c r="J282" s="3"/>
      <c r="K282" s="58">
        <f>AVERAGE($F$282:$F$284)</f>
        <v>0</v>
      </c>
    </row>
    <row r="283" spans="1:11" x14ac:dyDescent="0.3">
      <c r="A283" s="53"/>
      <c r="B283" s="53"/>
      <c r="C283" s="3" t="s">
        <v>456</v>
      </c>
      <c r="D283" s="3" t="s">
        <v>457</v>
      </c>
      <c r="E283" s="3" t="s">
        <v>459</v>
      </c>
      <c r="F283" s="35">
        <v>0</v>
      </c>
      <c r="G283" s="3">
        <v>3</v>
      </c>
      <c r="H283" s="3"/>
      <c r="I283" s="3"/>
      <c r="J283" s="3"/>
      <c r="K283" s="53"/>
    </row>
    <row r="284" spans="1:11" x14ac:dyDescent="0.3">
      <c r="A284" s="53"/>
      <c r="B284" s="53"/>
      <c r="C284" s="3" t="s">
        <v>456</v>
      </c>
      <c r="D284" s="3" t="s">
        <v>457</v>
      </c>
      <c r="E284" s="3" t="s">
        <v>460</v>
      </c>
      <c r="F284" s="35">
        <v>0</v>
      </c>
      <c r="G284" s="3">
        <v>2</v>
      </c>
      <c r="H284" s="3"/>
      <c r="I284" s="3"/>
      <c r="J284" s="3"/>
      <c r="K284" s="53"/>
    </row>
    <row r="285" spans="1:11" x14ac:dyDescent="0.3">
      <c r="A285" s="55">
        <v>91</v>
      </c>
      <c r="B285" s="52" t="s">
        <v>461</v>
      </c>
      <c r="C285" s="2" t="s">
        <v>462</v>
      </c>
      <c r="D285" s="2" t="s">
        <v>400</v>
      </c>
      <c r="E285" s="2" t="s">
        <v>463</v>
      </c>
      <c r="F285" s="35">
        <v>0</v>
      </c>
      <c r="G285" s="2">
        <v>2</v>
      </c>
      <c r="H285" s="2"/>
      <c r="I285" s="2"/>
      <c r="J285" s="2"/>
      <c r="K285" s="58">
        <f>AVERAGE($F$285:$F$288)</f>
        <v>0</v>
      </c>
    </row>
    <row r="286" spans="1:11" x14ac:dyDescent="0.3">
      <c r="A286" s="53"/>
      <c r="B286" s="53"/>
      <c r="C286" s="2" t="s">
        <v>462</v>
      </c>
      <c r="D286" s="2" t="s">
        <v>400</v>
      </c>
      <c r="E286" s="2" t="s">
        <v>464</v>
      </c>
      <c r="F286" s="35">
        <v>0</v>
      </c>
      <c r="G286" s="2">
        <v>2</v>
      </c>
      <c r="H286" s="2"/>
      <c r="I286" s="2"/>
      <c r="J286" s="2"/>
      <c r="K286" s="53"/>
    </row>
    <row r="287" spans="1:11" x14ac:dyDescent="0.3">
      <c r="A287" s="53"/>
      <c r="B287" s="53"/>
      <c r="C287" s="2" t="s">
        <v>462</v>
      </c>
      <c r="D287" s="2" t="s">
        <v>400</v>
      </c>
      <c r="E287" s="2" t="s">
        <v>465</v>
      </c>
      <c r="F287" s="35">
        <v>0</v>
      </c>
      <c r="G287" s="2">
        <v>2</v>
      </c>
      <c r="H287" s="2"/>
      <c r="I287" s="2"/>
      <c r="J287" s="2"/>
      <c r="K287" s="53"/>
    </row>
    <row r="288" spans="1:11" x14ac:dyDescent="0.3">
      <c r="A288" s="53"/>
      <c r="B288" s="53"/>
      <c r="C288" s="2" t="s">
        <v>462</v>
      </c>
      <c r="D288" s="2" t="s">
        <v>400</v>
      </c>
      <c r="E288" s="2" t="s">
        <v>80</v>
      </c>
      <c r="F288" s="35">
        <v>0</v>
      </c>
      <c r="G288" s="2">
        <v>2</v>
      </c>
      <c r="H288" s="2"/>
      <c r="I288" s="2"/>
      <c r="J288" s="2"/>
      <c r="K288" s="53"/>
    </row>
    <row r="289" spans="1:11" x14ac:dyDescent="0.3">
      <c r="A289" s="56">
        <v>92</v>
      </c>
      <c r="B289" s="54" t="s">
        <v>466</v>
      </c>
      <c r="C289" s="3" t="s">
        <v>467</v>
      </c>
      <c r="D289" s="3" t="s">
        <v>468</v>
      </c>
      <c r="E289" s="3" t="s">
        <v>469</v>
      </c>
      <c r="F289" s="35">
        <v>0</v>
      </c>
      <c r="G289" s="3">
        <v>2</v>
      </c>
      <c r="H289" s="3"/>
      <c r="I289" s="3"/>
      <c r="J289" s="3" t="s">
        <v>470</v>
      </c>
      <c r="K289" s="58">
        <f>AVERAGE($F$289:$F$292)</f>
        <v>0</v>
      </c>
    </row>
    <row r="290" spans="1:11" x14ac:dyDescent="0.3">
      <c r="A290" s="53"/>
      <c r="B290" s="53"/>
      <c r="C290" s="3" t="s">
        <v>467</v>
      </c>
      <c r="D290" s="3" t="s">
        <v>468</v>
      </c>
      <c r="E290" s="3" t="s">
        <v>471</v>
      </c>
      <c r="F290" s="35">
        <v>0</v>
      </c>
      <c r="G290" s="3">
        <v>2</v>
      </c>
      <c r="H290" s="3"/>
      <c r="I290" s="3"/>
      <c r="J290" s="3"/>
      <c r="K290" s="53"/>
    </row>
    <row r="291" spans="1:11" x14ac:dyDescent="0.3">
      <c r="A291" s="53"/>
      <c r="B291" s="53"/>
      <c r="C291" s="3" t="s">
        <v>467</v>
      </c>
      <c r="D291" s="3" t="s">
        <v>468</v>
      </c>
      <c r="E291" s="3" t="s">
        <v>472</v>
      </c>
      <c r="F291" s="35">
        <v>0</v>
      </c>
      <c r="G291" s="3">
        <v>2</v>
      </c>
      <c r="H291" s="3"/>
      <c r="I291" s="3"/>
      <c r="J291" s="3"/>
      <c r="K291" s="53"/>
    </row>
    <row r="292" spans="1:11" x14ac:dyDescent="0.3">
      <c r="A292" s="53"/>
      <c r="B292" s="53"/>
      <c r="C292" s="3" t="s">
        <v>467</v>
      </c>
      <c r="D292" s="3" t="s">
        <v>468</v>
      </c>
      <c r="E292" s="3" t="s">
        <v>473</v>
      </c>
      <c r="F292" s="35">
        <v>0</v>
      </c>
      <c r="G292" s="3">
        <v>2</v>
      </c>
      <c r="H292" s="3"/>
      <c r="I292" s="3"/>
      <c r="J292" s="3"/>
      <c r="K292" s="53"/>
    </row>
  </sheetData>
  <mergeCells count="284">
    <mergeCell ref="K48:K50"/>
    <mergeCell ref="K176:K178"/>
    <mergeCell ref="K57:K59"/>
    <mergeCell ref="A20:A22"/>
    <mergeCell ref="B270:B272"/>
    <mergeCell ref="A72:A74"/>
    <mergeCell ref="A200:A202"/>
    <mergeCell ref="B215:B217"/>
    <mergeCell ref="A270:A272"/>
    <mergeCell ref="B42:B44"/>
    <mergeCell ref="B256:B257"/>
    <mergeCell ref="B247:B249"/>
    <mergeCell ref="B116:B118"/>
    <mergeCell ref="A233:A235"/>
    <mergeCell ref="K116:K118"/>
    <mergeCell ref="K98:K102"/>
    <mergeCell ref="A131:A133"/>
    <mergeCell ref="B54:B56"/>
    <mergeCell ref="A140:A142"/>
    <mergeCell ref="K66:K68"/>
    <mergeCell ref="K250:K252"/>
    <mergeCell ref="B75:B77"/>
    <mergeCell ref="B140:B142"/>
    <mergeCell ref="B149:B151"/>
    <mergeCell ref="B279:B281"/>
    <mergeCell ref="B108:B110"/>
    <mergeCell ref="A134:A136"/>
    <mergeCell ref="A23:A25"/>
    <mergeCell ref="A194:A196"/>
    <mergeCell ref="K191:K193"/>
    <mergeCell ref="B36:B38"/>
    <mergeCell ref="B45:B47"/>
    <mergeCell ref="N3:O3"/>
    <mergeCell ref="A236:A237"/>
    <mergeCell ref="B83:B87"/>
    <mergeCell ref="A258:A260"/>
    <mergeCell ref="B20:B22"/>
    <mergeCell ref="K218:K220"/>
    <mergeCell ref="K227:K229"/>
    <mergeCell ref="B7:B9"/>
    <mergeCell ref="A155:A157"/>
    <mergeCell ref="K137:K139"/>
    <mergeCell ref="N5:O5"/>
    <mergeCell ref="K33:K35"/>
    <mergeCell ref="K146:K148"/>
    <mergeCell ref="A173:A175"/>
    <mergeCell ref="K164:K166"/>
    <mergeCell ref="B233:B235"/>
    <mergeCell ref="B289:B292"/>
    <mergeCell ref="A250:A252"/>
    <mergeCell ref="B72:B74"/>
    <mergeCell ref="K188:K190"/>
    <mergeCell ref="B134:B136"/>
    <mergeCell ref="B152:B154"/>
    <mergeCell ref="A212:A214"/>
    <mergeCell ref="A221:A223"/>
    <mergeCell ref="B244:B246"/>
    <mergeCell ref="K203:K205"/>
    <mergeCell ref="A285:A288"/>
    <mergeCell ref="B273:B275"/>
    <mergeCell ref="B282:B284"/>
    <mergeCell ref="K241:K243"/>
    <mergeCell ref="A137:A139"/>
    <mergeCell ref="B182:B184"/>
    <mergeCell ref="A197:A199"/>
    <mergeCell ref="B93:B97"/>
    <mergeCell ref="A146:A148"/>
    <mergeCell ref="K194:K196"/>
    <mergeCell ref="K276:K278"/>
    <mergeCell ref="K267:K269"/>
    <mergeCell ref="B258:B260"/>
    <mergeCell ref="B158:B160"/>
    <mergeCell ref="A10:A13"/>
    <mergeCell ref="A108:A110"/>
    <mergeCell ref="B167:B169"/>
    <mergeCell ref="K119:K121"/>
    <mergeCell ref="B23:B25"/>
    <mergeCell ref="B176:B178"/>
    <mergeCell ref="B57:B59"/>
    <mergeCell ref="A267:A269"/>
    <mergeCell ref="A149:A151"/>
    <mergeCell ref="K253:K255"/>
    <mergeCell ref="B26:B29"/>
    <mergeCell ref="B191:B193"/>
    <mergeCell ref="A111:A112"/>
    <mergeCell ref="B236:B237"/>
    <mergeCell ref="A264:A266"/>
    <mergeCell ref="A238:A240"/>
    <mergeCell ref="A42:A44"/>
    <mergeCell ref="A256:A257"/>
    <mergeCell ref="B197:B199"/>
    <mergeCell ref="B188:B190"/>
    <mergeCell ref="B206:B208"/>
    <mergeCell ref="B264:B266"/>
    <mergeCell ref="K244:K246"/>
    <mergeCell ref="K63:K65"/>
    <mergeCell ref="A57:A59"/>
    <mergeCell ref="M2:O2"/>
    <mergeCell ref="K273:K275"/>
    <mergeCell ref="A247:A249"/>
    <mergeCell ref="B128:B130"/>
    <mergeCell ref="A185:A187"/>
    <mergeCell ref="K289:K292"/>
    <mergeCell ref="B267:B269"/>
    <mergeCell ref="B78:B82"/>
    <mergeCell ref="N7:O7"/>
    <mergeCell ref="K179:K181"/>
    <mergeCell ref="K270:K272"/>
    <mergeCell ref="K39:K41"/>
    <mergeCell ref="A2:A6"/>
    <mergeCell ref="A122:A124"/>
    <mergeCell ref="K279:K281"/>
    <mergeCell ref="B33:B35"/>
    <mergeCell ref="B164:B166"/>
    <mergeCell ref="A14:A16"/>
    <mergeCell ref="K14:K16"/>
    <mergeCell ref="B173:B175"/>
    <mergeCell ref="A230:A232"/>
    <mergeCell ref="K23:K25"/>
    <mergeCell ref="A224:A226"/>
    <mergeCell ref="A241:A243"/>
    <mergeCell ref="B203:B205"/>
    <mergeCell ref="K103:K107"/>
    <mergeCell ref="B125:B127"/>
    <mergeCell ref="K233:K235"/>
    <mergeCell ref="B131:B133"/>
    <mergeCell ref="K78:K82"/>
    <mergeCell ref="B137:B139"/>
    <mergeCell ref="A227:A229"/>
    <mergeCell ref="B238:B240"/>
    <mergeCell ref="B221:B223"/>
    <mergeCell ref="K93:K97"/>
    <mergeCell ref="A191:A193"/>
    <mergeCell ref="K182:K184"/>
    <mergeCell ref="K200:K202"/>
    <mergeCell ref="K113:K115"/>
    <mergeCell ref="A98:A102"/>
    <mergeCell ref="B146:B148"/>
    <mergeCell ref="B88:B92"/>
    <mergeCell ref="K128:K130"/>
    <mergeCell ref="K10:K13"/>
    <mergeCell ref="A7:A9"/>
    <mergeCell ref="B39:B41"/>
    <mergeCell ref="K88:K92"/>
    <mergeCell ref="K264:K266"/>
    <mergeCell ref="B48:B50"/>
    <mergeCell ref="N6:O6"/>
    <mergeCell ref="K209:K211"/>
    <mergeCell ref="K261:K263"/>
    <mergeCell ref="K236:K237"/>
    <mergeCell ref="B14:B16"/>
    <mergeCell ref="A179:A181"/>
    <mergeCell ref="A188:A190"/>
    <mergeCell ref="K170:K172"/>
    <mergeCell ref="K131:K133"/>
    <mergeCell ref="B230:B232"/>
    <mergeCell ref="K2:K6"/>
    <mergeCell ref="N4:O4"/>
    <mergeCell ref="K140:K142"/>
    <mergeCell ref="K155:K157"/>
    <mergeCell ref="A116:A118"/>
    <mergeCell ref="K42:K44"/>
    <mergeCell ref="K256:K257"/>
    <mergeCell ref="B194:B196"/>
    <mergeCell ref="B276:B278"/>
    <mergeCell ref="K247:K249"/>
    <mergeCell ref="A26:A29"/>
    <mergeCell ref="K185:K187"/>
    <mergeCell ref="K83:K87"/>
    <mergeCell ref="A17:A19"/>
    <mergeCell ref="K17:K19"/>
    <mergeCell ref="B103:B107"/>
    <mergeCell ref="A253:A255"/>
    <mergeCell ref="K69:K71"/>
    <mergeCell ref="A63:A65"/>
    <mergeCell ref="A206:A208"/>
    <mergeCell ref="K197:K199"/>
    <mergeCell ref="A215:A217"/>
    <mergeCell ref="K206:K208"/>
    <mergeCell ref="K215:K217"/>
    <mergeCell ref="B51:B53"/>
    <mergeCell ref="B113:B115"/>
    <mergeCell ref="A143:A145"/>
    <mergeCell ref="B66:B68"/>
    <mergeCell ref="A152:A154"/>
    <mergeCell ref="K125:K127"/>
    <mergeCell ref="K143:K145"/>
    <mergeCell ref="K230:K232"/>
    <mergeCell ref="N8:O8"/>
    <mergeCell ref="A167:A169"/>
    <mergeCell ref="B10:B13"/>
    <mergeCell ref="A36:A38"/>
    <mergeCell ref="A176:A178"/>
    <mergeCell ref="A30:A32"/>
    <mergeCell ref="K167:K169"/>
    <mergeCell ref="A45:A47"/>
    <mergeCell ref="K111:K112"/>
    <mergeCell ref="K158:K160"/>
    <mergeCell ref="A128:A130"/>
    <mergeCell ref="K54:K56"/>
    <mergeCell ref="A88:A92"/>
    <mergeCell ref="B155:B157"/>
    <mergeCell ref="A125:A127"/>
    <mergeCell ref="K7:K9"/>
    <mergeCell ref="A161:A163"/>
    <mergeCell ref="K152:K154"/>
    <mergeCell ref="B17:B19"/>
    <mergeCell ref="A78:A82"/>
    <mergeCell ref="K26:K29"/>
    <mergeCell ref="B30:B32"/>
    <mergeCell ref="A33:A35"/>
    <mergeCell ref="A39:A41"/>
    <mergeCell ref="B253:B255"/>
    <mergeCell ref="B179:B181"/>
    <mergeCell ref="K224:K226"/>
    <mergeCell ref="K60:K62"/>
    <mergeCell ref="K72:K74"/>
    <mergeCell ref="K134:K136"/>
    <mergeCell ref="K285:K288"/>
    <mergeCell ref="A164:A166"/>
    <mergeCell ref="A113:A115"/>
    <mergeCell ref="K161:K163"/>
    <mergeCell ref="A244:A246"/>
    <mergeCell ref="B119:B121"/>
    <mergeCell ref="A282:A284"/>
    <mergeCell ref="K258:K260"/>
    <mergeCell ref="B143:B145"/>
    <mergeCell ref="A209:A211"/>
    <mergeCell ref="A203:A205"/>
    <mergeCell ref="B241:B243"/>
    <mergeCell ref="B111:B112"/>
    <mergeCell ref="K282:K284"/>
    <mergeCell ref="B227:B229"/>
    <mergeCell ref="A261:A263"/>
    <mergeCell ref="K221:K223"/>
    <mergeCell ref="A279:A281"/>
    <mergeCell ref="K36:K38"/>
    <mergeCell ref="A48:A50"/>
    <mergeCell ref="B200:B202"/>
    <mergeCell ref="A119:A121"/>
    <mergeCell ref="K30:K32"/>
    <mergeCell ref="K45:K47"/>
    <mergeCell ref="B209:B211"/>
    <mergeCell ref="B218:B220"/>
    <mergeCell ref="A83:A87"/>
    <mergeCell ref="B122:B124"/>
    <mergeCell ref="K212:K214"/>
    <mergeCell ref="A182:A184"/>
    <mergeCell ref="K108:K110"/>
    <mergeCell ref="A93:A97"/>
    <mergeCell ref="K173:K175"/>
    <mergeCell ref="B63:B65"/>
    <mergeCell ref="B185:B187"/>
    <mergeCell ref="B212:B214"/>
    <mergeCell ref="A170:A172"/>
    <mergeCell ref="A51:A53"/>
    <mergeCell ref="A60:A62"/>
    <mergeCell ref="K51:K53"/>
    <mergeCell ref="A69:A71"/>
    <mergeCell ref="A54:A56"/>
    <mergeCell ref="M1:O1"/>
    <mergeCell ref="B60:B62"/>
    <mergeCell ref="B69:B71"/>
    <mergeCell ref="B98:B102"/>
    <mergeCell ref="A273:A275"/>
    <mergeCell ref="A289:A292"/>
    <mergeCell ref="B250:B252"/>
    <mergeCell ref="B285:B288"/>
    <mergeCell ref="B261:B263"/>
    <mergeCell ref="B161:B163"/>
    <mergeCell ref="K20:K22"/>
    <mergeCell ref="B170:B172"/>
    <mergeCell ref="K238:K240"/>
    <mergeCell ref="B2:B6"/>
    <mergeCell ref="A66:A68"/>
    <mergeCell ref="A75:A77"/>
    <mergeCell ref="K75:K77"/>
    <mergeCell ref="A158:A160"/>
    <mergeCell ref="A218:A220"/>
    <mergeCell ref="K149:K151"/>
    <mergeCell ref="A103:A107"/>
    <mergeCell ref="K122:K124"/>
    <mergeCell ref="A276:A278"/>
    <mergeCell ref="B224:B226"/>
  </mergeCells>
  <phoneticPr fontId="17" type="noConversion"/>
  <conditionalFormatting sqref="F2:F292">
    <cfRule type="cellIs" dxfId="20" priority="13" operator="equal">
      <formula>1</formula>
    </cfRule>
    <cfRule type="cellIs" dxfId="19" priority="14" operator="between">
      <formula>0.75</formula>
      <formula>0.99</formula>
    </cfRule>
    <cfRule type="cellIs" dxfId="18" priority="15" operator="between">
      <formula>0.5</formula>
      <formula>0.74</formula>
    </cfRule>
    <cfRule type="cellIs" dxfId="17" priority="16" operator="between">
      <formula>0.25</formula>
      <formula>0.49</formula>
    </cfRule>
    <cfRule type="cellIs" dxfId="16" priority="17" operator="between">
      <formula>0.01</formula>
      <formula>0.24</formula>
    </cfRule>
    <cfRule type="cellIs" dxfId="15" priority="18" operator="equal">
      <formula>0</formula>
    </cfRule>
  </conditionalFormatting>
  <conditionalFormatting sqref="K2:K292">
    <cfRule type="cellIs" dxfId="14" priority="19" operator="equal">
      <formula>1</formula>
    </cfRule>
    <cfRule type="cellIs" dxfId="13" priority="19" operator="between">
      <formula>0.75</formula>
      <formula>0.99</formula>
    </cfRule>
    <cfRule type="cellIs" dxfId="12" priority="19" operator="between">
      <formula>0.5</formula>
      <formula>0.74</formula>
    </cfRule>
    <cfRule type="cellIs" dxfId="11" priority="19" operator="between">
      <formula>0.25</formula>
      <formula>0.49</formula>
    </cfRule>
    <cfRule type="cellIs" dxfId="10" priority="19" operator="between">
      <formula>0.01</formula>
      <formula>0.24</formula>
    </cfRule>
    <cfRule type="cellIs" dxfId="9" priority="19" operator="equal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0"/>
  <sheetViews>
    <sheetView topLeftCell="A43" workbookViewId="0">
      <selection activeCell="I45" sqref="I45"/>
    </sheetView>
  </sheetViews>
  <sheetFormatPr defaultRowHeight="16.5" x14ac:dyDescent="0.3"/>
  <cols>
    <col min="1" max="1" width="20" customWidth="1"/>
    <col min="2" max="2" width="22" customWidth="1"/>
    <col min="3" max="3" width="40" customWidth="1"/>
    <col min="4" max="4" width="12" customWidth="1"/>
    <col min="5" max="6" width="10" customWidth="1"/>
    <col min="7" max="7" width="28" customWidth="1"/>
    <col min="8" max="8" width="15" customWidth="1"/>
    <col min="9" max="9" width="40" customWidth="1"/>
  </cols>
  <sheetData>
    <row r="1" spans="1:9" x14ac:dyDescent="0.3">
      <c r="A1" s="1" t="s">
        <v>2</v>
      </c>
      <c r="B1" s="1" t="s">
        <v>3</v>
      </c>
      <c r="C1" s="1" t="s">
        <v>474</v>
      </c>
      <c r="D1" s="1" t="s">
        <v>475</v>
      </c>
      <c r="E1" s="1" t="s">
        <v>5</v>
      </c>
      <c r="F1" s="1" t="s">
        <v>476</v>
      </c>
      <c r="G1" s="1" t="s">
        <v>477</v>
      </c>
      <c r="H1" s="1" t="s">
        <v>478</v>
      </c>
      <c r="I1" s="1" t="s">
        <v>9</v>
      </c>
    </row>
    <row r="2" spans="1:9" x14ac:dyDescent="0.3">
      <c r="A2" s="67" t="s">
        <v>479</v>
      </c>
      <c r="B2" s="4" t="s">
        <v>480</v>
      </c>
      <c r="C2" s="4" t="s">
        <v>481</v>
      </c>
      <c r="D2" s="36" t="str">
        <f t="shared" ref="D2:D33" si="0">IF(E2=1,"완료",IF(E2&gt;0,"진행중","대기"))</f>
        <v>완료</v>
      </c>
      <c r="E2" s="37">
        <v>1</v>
      </c>
      <c r="F2" s="5" t="s">
        <v>482</v>
      </c>
      <c r="G2" s="4" t="s">
        <v>483</v>
      </c>
      <c r="H2" s="46">
        <v>45986</v>
      </c>
      <c r="I2" s="4"/>
    </row>
    <row r="3" spans="1:9" x14ac:dyDescent="0.3">
      <c r="A3" s="53"/>
      <c r="B3" s="4" t="s">
        <v>480</v>
      </c>
      <c r="C3" s="4" t="s">
        <v>484</v>
      </c>
      <c r="D3" s="36" t="str">
        <f t="shared" si="0"/>
        <v>완료</v>
      </c>
      <c r="E3" s="37">
        <v>1</v>
      </c>
      <c r="F3" s="5" t="s">
        <v>482</v>
      </c>
      <c r="G3" s="4" t="s">
        <v>485</v>
      </c>
      <c r="H3" s="46">
        <v>45986</v>
      </c>
      <c r="I3" s="4"/>
    </row>
    <row r="4" spans="1:9" x14ac:dyDescent="0.3">
      <c r="A4" s="53"/>
      <c r="B4" s="4" t="s">
        <v>486</v>
      </c>
      <c r="C4" s="4" t="s">
        <v>487</v>
      </c>
      <c r="D4" s="36" t="str">
        <f t="shared" si="0"/>
        <v>완료</v>
      </c>
      <c r="E4" s="37">
        <v>1</v>
      </c>
      <c r="F4" s="5" t="s">
        <v>482</v>
      </c>
      <c r="G4" s="4" t="s">
        <v>483</v>
      </c>
      <c r="H4" s="46">
        <v>45986</v>
      </c>
      <c r="I4" s="4"/>
    </row>
    <row r="5" spans="1:9" x14ac:dyDescent="0.3">
      <c r="A5" s="53"/>
      <c r="B5" s="4" t="s">
        <v>486</v>
      </c>
      <c r="C5" s="4" t="s">
        <v>488</v>
      </c>
      <c r="D5" s="36" t="str">
        <f t="shared" si="0"/>
        <v>완료</v>
      </c>
      <c r="E5" s="37">
        <v>1</v>
      </c>
      <c r="F5" s="5" t="s">
        <v>482</v>
      </c>
      <c r="G5" s="4" t="s">
        <v>489</v>
      </c>
      <c r="H5" s="46">
        <v>45986</v>
      </c>
      <c r="I5" s="4"/>
    </row>
    <row r="6" spans="1:9" x14ac:dyDescent="0.3">
      <c r="A6" s="53"/>
      <c r="B6" s="4" t="s">
        <v>490</v>
      </c>
      <c r="C6" s="4" t="s">
        <v>491</v>
      </c>
      <c r="D6" s="36" t="str">
        <f t="shared" si="0"/>
        <v>완료</v>
      </c>
      <c r="E6" s="37">
        <v>1</v>
      </c>
      <c r="F6" s="5" t="s">
        <v>482</v>
      </c>
      <c r="G6" s="4" t="s">
        <v>483</v>
      </c>
      <c r="H6" s="46">
        <v>45996</v>
      </c>
      <c r="I6" s="4"/>
    </row>
    <row r="7" spans="1:9" x14ac:dyDescent="0.3">
      <c r="A7" s="53"/>
      <c r="B7" s="4" t="s">
        <v>490</v>
      </c>
      <c r="C7" s="4" t="s">
        <v>91</v>
      </c>
      <c r="D7" s="36" t="str">
        <f t="shared" si="0"/>
        <v>완료</v>
      </c>
      <c r="E7" s="37">
        <v>1</v>
      </c>
      <c r="F7" s="5" t="s">
        <v>482</v>
      </c>
      <c r="G7" s="4" t="s">
        <v>492</v>
      </c>
      <c r="H7" s="46">
        <v>45996</v>
      </c>
      <c r="I7" s="4"/>
    </row>
    <row r="8" spans="1:9" x14ac:dyDescent="0.3">
      <c r="A8" s="53"/>
      <c r="B8" s="4" t="s">
        <v>490</v>
      </c>
      <c r="C8" s="4" t="s">
        <v>493</v>
      </c>
      <c r="D8" s="36" t="str">
        <f t="shared" si="0"/>
        <v>완료</v>
      </c>
      <c r="E8" s="37">
        <v>1</v>
      </c>
      <c r="F8" s="5" t="s">
        <v>482</v>
      </c>
      <c r="G8" s="4" t="s">
        <v>494</v>
      </c>
      <c r="H8" s="46">
        <v>45997</v>
      </c>
      <c r="I8" s="4"/>
    </row>
    <row r="9" spans="1:9" x14ac:dyDescent="0.3">
      <c r="A9" s="53"/>
      <c r="B9" s="4" t="s">
        <v>490</v>
      </c>
      <c r="C9" s="4" t="s">
        <v>97</v>
      </c>
      <c r="D9" s="36" t="str">
        <f t="shared" si="0"/>
        <v>대기</v>
      </c>
      <c r="E9" s="37">
        <v>0</v>
      </c>
      <c r="F9" s="5" t="s">
        <v>482</v>
      </c>
      <c r="G9" s="4" t="s">
        <v>90</v>
      </c>
      <c r="H9" s="46">
        <v>45998</v>
      </c>
      <c r="I9" s="4"/>
    </row>
    <row r="10" spans="1:9" x14ac:dyDescent="0.3">
      <c r="A10" s="53"/>
      <c r="B10" s="4" t="s">
        <v>490</v>
      </c>
      <c r="C10" s="4" t="s">
        <v>495</v>
      </c>
      <c r="D10" s="38" t="str">
        <f t="shared" si="0"/>
        <v>대기</v>
      </c>
      <c r="E10" s="37">
        <v>0</v>
      </c>
      <c r="F10" s="5" t="s">
        <v>482</v>
      </c>
      <c r="G10" s="4" t="s">
        <v>494</v>
      </c>
      <c r="H10" s="4"/>
      <c r="I10" s="4" t="s">
        <v>496</v>
      </c>
    </row>
    <row r="11" spans="1:9" x14ac:dyDescent="0.3">
      <c r="A11" s="53"/>
      <c r="B11" s="4" t="s">
        <v>497</v>
      </c>
      <c r="C11" s="4" t="s">
        <v>498</v>
      </c>
      <c r="D11" s="38" t="str">
        <f t="shared" si="0"/>
        <v>대기</v>
      </c>
      <c r="E11" s="37">
        <v>0</v>
      </c>
      <c r="F11" s="5" t="s">
        <v>482</v>
      </c>
      <c r="G11" s="4" t="s">
        <v>499</v>
      </c>
      <c r="H11" s="4"/>
      <c r="I11" s="4"/>
    </row>
    <row r="12" spans="1:9" x14ac:dyDescent="0.3">
      <c r="A12" s="53"/>
      <c r="B12" s="4" t="s">
        <v>497</v>
      </c>
      <c r="C12" s="4" t="s">
        <v>500</v>
      </c>
      <c r="D12" s="38" t="str">
        <f t="shared" si="0"/>
        <v>대기</v>
      </c>
      <c r="E12" s="37">
        <v>0</v>
      </c>
      <c r="F12" s="5" t="s">
        <v>482</v>
      </c>
      <c r="G12" s="4" t="s">
        <v>483</v>
      </c>
      <c r="H12" s="4"/>
      <c r="I12" s="4" t="s">
        <v>501</v>
      </c>
    </row>
    <row r="13" spans="1:9" x14ac:dyDescent="0.3">
      <c r="A13" s="53"/>
      <c r="B13" s="4" t="s">
        <v>497</v>
      </c>
      <c r="C13" s="4" t="s">
        <v>502</v>
      </c>
      <c r="D13" s="38" t="str">
        <f t="shared" si="0"/>
        <v>대기</v>
      </c>
      <c r="E13" s="37">
        <v>0</v>
      </c>
      <c r="F13" s="5" t="s">
        <v>482</v>
      </c>
      <c r="G13" s="4" t="s">
        <v>499</v>
      </c>
      <c r="H13" s="4"/>
      <c r="I13" s="4" t="s">
        <v>503</v>
      </c>
    </row>
    <row r="14" spans="1:9" x14ac:dyDescent="0.3">
      <c r="A14" s="53"/>
      <c r="B14" s="4" t="s">
        <v>497</v>
      </c>
      <c r="C14" s="4" t="s">
        <v>504</v>
      </c>
      <c r="D14" s="38" t="str">
        <f t="shared" si="0"/>
        <v>대기</v>
      </c>
      <c r="E14" s="37">
        <v>0</v>
      </c>
      <c r="F14" s="5" t="s">
        <v>482</v>
      </c>
      <c r="G14" s="4" t="s">
        <v>505</v>
      </c>
      <c r="H14" s="4"/>
      <c r="I14" s="4"/>
    </row>
    <row r="15" spans="1:9" x14ac:dyDescent="0.3">
      <c r="A15" s="53"/>
      <c r="B15" s="4" t="s">
        <v>142</v>
      </c>
      <c r="C15" s="4" t="s">
        <v>506</v>
      </c>
      <c r="D15" s="39" t="str">
        <f t="shared" si="0"/>
        <v>완료</v>
      </c>
      <c r="E15" s="37">
        <v>1</v>
      </c>
      <c r="F15" s="5" t="s">
        <v>482</v>
      </c>
      <c r="G15" s="4" t="s">
        <v>141</v>
      </c>
      <c r="H15" s="46">
        <v>46016</v>
      </c>
      <c r="I15" s="4"/>
    </row>
    <row r="16" spans="1:9" x14ac:dyDescent="0.3">
      <c r="A16" s="53"/>
      <c r="B16" s="4" t="s">
        <v>142</v>
      </c>
      <c r="C16" s="4" t="s">
        <v>507</v>
      </c>
      <c r="D16" s="39" t="str">
        <f t="shared" si="0"/>
        <v>완료</v>
      </c>
      <c r="E16" s="37">
        <v>1</v>
      </c>
      <c r="F16" s="5" t="s">
        <v>482</v>
      </c>
      <c r="G16" s="4" t="s">
        <v>508</v>
      </c>
      <c r="H16" s="46">
        <v>46017</v>
      </c>
      <c r="I16" s="4"/>
    </row>
    <row r="17" spans="1:9" x14ac:dyDescent="0.3">
      <c r="A17" s="53"/>
      <c r="B17" s="4" t="s">
        <v>142</v>
      </c>
      <c r="C17" s="4" t="s">
        <v>509</v>
      </c>
      <c r="D17" s="38" t="str">
        <f t="shared" si="0"/>
        <v>완료</v>
      </c>
      <c r="E17" s="37">
        <v>1</v>
      </c>
      <c r="F17" s="5" t="s">
        <v>482</v>
      </c>
      <c r="G17" s="4" t="s">
        <v>510</v>
      </c>
      <c r="H17" s="46">
        <v>46018</v>
      </c>
      <c r="I17" s="4" t="s">
        <v>511</v>
      </c>
    </row>
    <row r="18" spans="1:9" x14ac:dyDescent="0.3">
      <c r="A18" s="53"/>
      <c r="B18" s="4" t="s">
        <v>512</v>
      </c>
      <c r="C18" s="4" t="s">
        <v>513</v>
      </c>
      <c r="D18" s="38" t="str">
        <f t="shared" si="0"/>
        <v>진행중</v>
      </c>
      <c r="E18" s="37">
        <v>0.5</v>
      </c>
      <c r="F18" s="5" t="s">
        <v>482</v>
      </c>
      <c r="G18" s="4" t="s">
        <v>483</v>
      </c>
      <c r="H18" s="4"/>
      <c r="I18" s="4" t="s">
        <v>514</v>
      </c>
    </row>
    <row r="19" spans="1:9" x14ac:dyDescent="0.3">
      <c r="A19" s="53"/>
      <c r="B19" s="4" t="s">
        <v>512</v>
      </c>
      <c r="C19" s="4" t="s">
        <v>515</v>
      </c>
      <c r="D19" s="38" t="str">
        <f t="shared" si="0"/>
        <v>진행중</v>
      </c>
      <c r="E19" s="37">
        <v>0.5</v>
      </c>
      <c r="F19" s="5" t="s">
        <v>482</v>
      </c>
      <c r="G19" s="4" t="s">
        <v>516</v>
      </c>
      <c r="H19" s="4"/>
      <c r="I19" s="4"/>
    </row>
    <row r="20" spans="1:9" x14ac:dyDescent="0.3">
      <c r="A20" s="53"/>
      <c r="B20" s="4" t="s">
        <v>512</v>
      </c>
      <c r="C20" s="4" t="s">
        <v>517</v>
      </c>
      <c r="D20" s="38" t="str">
        <f t="shared" si="0"/>
        <v>대기</v>
      </c>
      <c r="E20" s="37">
        <v>0</v>
      </c>
      <c r="F20" s="5" t="s">
        <v>482</v>
      </c>
      <c r="G20" s="4" t="s">
        <v>200</v>
      </c>
      <c r="H20" s="4"/>
      <c r="I20" s="4" t="s">
        <v>518</v>
      </c>
    </row>
    <row r="21" spans="1:9" x14ac:dyDescent="0.3">
      <c r="A21" s="53"/>
      <c r="B21" s="4" t="s">
        <v>512</v>
      </c>
      <c r="C21" s="4" t="s">
        <v>519</v>
      </c>
      <c r="D21" s="38" t="str">
        <f t="shared" si="0"/>
        <v>대기</v>
      </c>
      <c r="E21" s="37">
        <v>0</v>
      </c>
      <c r="F21" s="5" t="s">
        <v>482</v>
      </c>
      <c r="G21" s="4" t="s">
        <v>520</v>
      </c>
      <c r="H21" s="4"/>
      <c r="I21" s="4"/>
    </row>
    <row r="22" spans="1:9" x14ac:dyDescent="0.3">
      <c r="A22" s="53"/>
      <c r="B22" s="4" t="s">
        <v>521</v>
      </c>
      <c r="C22" s="4" t="s">
        <v>522</v>
      </c>
      <c r="D22" s="39" t="str">
        <f t="shared" si="0"/>
        <v>완료</v>
      </c>
      <c r="E22" s="37">
        <v>1</v>
      </c>
      <c r="F22" s="5" t="s">
        <v>482</v>
      </c>
      <c r="G22" s="4" t="s">
        <v>142</v>
      </c>
      <c r="H22" s="46">
        <v>46016</v>
      </c>
      <c r="I22" s="4"/>
    </row>
    <row r="23" spans="1:9" x14ac:dyDescent="0.3">
      <c r="A23" s="53"/>
      <c r="B23" s="4" t="s">
        <v>523</v>
      </c>
      <c r="C23" s="4" t="s">
        <v>524</v>
      </c>
      <c r="D23" s="39" t="str">
        <f t="shared" si="0"/>
        <v>진행중</v>
      </c>
      <c r="E23" s="37">
        <v>0.3</v>
      </c>
      <c r="F23" s="5" t="s">
        <v>482</v>
      </c>
      <c r="G23" s="4" t="s">
        <v>141</v>
      </c>
      <c r="H23" s="4"/>
      <c r="I23" s="4"/>
    </row>
    <row r="24" spans="1:9" x14ac:dyDescent="0.3">
      <c r="A24" s="53"/>
      <c r="B24" s="4" t="s">
        <v>523</v>
      </c>
      <c r="C24" s="4" t="s">
        <v>525</v>
      </c>
      <c r="D24" s="38" t="str">
        <f t="shared" si="0"/>
        <v>진행중</v>
      </c>
      <c r="E24" s="37">
        <v>0.3</v>
      </c>
      <c r="F24" s="5" t="s">
        <v>482</v>
      </c>
      <c r="G24" s="4" t="s">
        <v>526</v>
      </c>
      <c r="H24" s="4"/>
      <c r="I24" s="4"/>
    </row>
    <row r="25" spans="1:9" x14ac:dyDescent="0.3">
      <c r="A25" s="53"/>
      <c r="B25" s="4" t="s">
        <v>480</v>
      </c>
      <c r="C25" s="4" t="s">
        <v>527</v>
      </c>
      <c r="D25" s="38" t="str">
        <f t="shared" si="0"/>
        <v>완료</v>
      </c>
      <c r="E25" s="37">
        <v>1</v>
      </c>
      <c r="F25" s="6" t="s">
        <v>528</v>
      </c>
      <c r="G25" s="4" t="s">
        <v>141</v>
      </c>
      <c r="H25" s="46">
        <v>45987</v>
      </c>
      <c r="I25" s="4" t="s">
        <v>529</v>
      </c>
    </row>
    <row r="26" spans="1:9" x14ac:dyDescent="0.3">
      <c r="A26" s="53"/>
      <c r="B26" s="4" t="s">
        <v>486</v>
      </c>
      <c r="C26" s="4" t="s">
        <v>530</v>
      </c>
      <c r="D26" s="36" t="str">
        <f t="shared" si="0"/>
        <v>완료</v>
      </c>
      <c r="E26" s="37">
        <v>1</v>
      </c>
      <c r="F26" s="6" t="s">
        <v>528</v>
      </c>
      <c r="G26" s="4" t="s">
        <v>531</v>
      </c>
      <c r="H26" s="46">
        <v>45987</v>
      </c>
      <c r="I26" s="4"/>
    </row>
    <row r="27" spans="1:9" x14ac:dyDescent="0.3">
      <c r="A27" s="53"/>
      <c r="B27" s="4" t="s">
        <v>497</v>
      </c>
      <c r="C27" s="4" t="s">
        <v>532</v>
      </c>
      <c r="D27" s="38" t="str">
        <f t="shared" si="0"/>
        <v>대기</v>
      </c>
      <c r="E27" s="37">
        <v>0</v>
      </c>
      <c r="F27" s="6" t="s">
        <v>528</v>
      </c>
      <c r="G27" s="4" t="s">
        <v>533</v>
      </c>
      <c r="H27" s="4"/>
      <c r="I27" s="4"/>
    </row>
    <row r="28" spans="1:9" x14ac:dyDescent="0.3">
      <c r="A28" s="53"/>
      <c r="B28" s="4" t="s">
        <v>142</v>
      </c>
      <c r="C28" s="4" t="s">
        <v>534</v>
      </c>
      <c r="D28" s="39" t="str">
        <f t="shared" si="0"/>
        <v>진행중</v>
      </c>
      <c r="E28" s="37">
        <v>0.5</v>
      </c>
      <c r="F28" s="6" t="s">
        <v>528</v>
      </c>
      <c r="G28" s="4" t="s">
        <v>510</v>
      </c>
      <c r="H28" s="4"/>
      <c r="I28" s="4"/>
    </row>
    <row r="29" spans="1:9" x14ac:dyDescent="0.3">
      <c r="A29" s="53"/>
      <c r="B29" s="4" t="s">
        <v>512</v>
      </c>
      <c r="C29" s="4" t="s">
        <v>535</v>
      </c>
      <c r="D29" s="38" t="str">
        <f t="shared" si="0"/>
        <v>진행중</v>
      </c>
      <c r="E29" s="37">
        <v>0.25</v>
      </c>
      <c r="F29" s="6" t="s">
        <v>528</v>
      </c>
      <c r="G29" s="4" t="s">
        <v>536</v>
      </c>
      <c r="H29" s="4"/>
      <c r="I29" s="4"/>
    </row>
    <row r="30" spans="1:9" x14ac:dyDescent="0.3">
      <c r="A30" s="53"/>
      <c r="B30" s="4" t="s">
        <v>521</v>
      </c>
      <c r="C30" s="4" t="s">
        <v>537</v>
      </c>
      <c r="D30" s="38" t="str">
        <f t="shared" si="0"/>
        <v>진행중</v>
      </c>
      <c r="E30" s="37">
        <v>0.5</v>
      </c>
      <c r="F30" s="6" t="s">
        <v>528</v>
      </c>
      <c r="G30" s="4" t="s">
        <v>483</v>
      </c>
      <c r="H30" s="4"/>
      <c r="I30" s="4"/>
    </row>
    <row r="31" spans="1:9" x14ac:dyDescent="0.3">
      <c r="A31" s="53"/>
      <c r="B31" s="4" t="s">
        <v>521</v>
      </c>
      <c r="C31" s="4" t="s">
        <v>538</v>
      </c>
      <c r="D31" s="38" t="str">
        <f t="shared" si="0"/>
        <v>진행중</v>
      </c>
      <c r="E31" s="37">
        <v>0.5</v>
      </c>
      <c r="F31" s="6" t="s">
        <v>528</v>
      </c>
      <c r="G31" s="4" t="s">
        <v>539</v>
      </c>
      <c r="H31" s="4"/>
      <c r="I31" s="4"/>
    </row>
    <row r="32" spans="1:9" x14ac:dyDescent="0.3">
      <c r="A32" s="53"/>
      <c r="B32" s="4" t="s">
        <v>521</v>
      </c>
      <c r="C32" s="4" t="s">
        <v>540</v>
      </c>
      <c r="D32" s="39" t="str">
        <f t="shared" si="0"/>
        <v>진행중</v>
      </c>
      <c r="E32" s="37">
        <v>0.5</v>
      </c>
      <c r="F32" s="6" t="s">
        <v>528</v>
      </c>
      <c r="G32" s="4" t="s">
        <v>541</v>
      </c>
      <c r="H32" s="4"/>
      <c r="I32" s="4"/>
    </row>
    <row r="33" spans="1:9" x14ac:dyDescent="0.3">
      <c r="A33" s="53"/>
      <c r="B33" s="4" t="s">
        <v>542</v>
      </c>
      <c r="C33" s="4" t="s">
        <v>543</v>
      </c>
      <c r="D33" s="38" t="str">
        <f t="shared" si="0"/>
        <v>대기</v>
      </c>
      <c r="E33" s="37">
        <v>0</v>
      </c>
      <c r="F33" s="6" t="s">
        <v>528</v>
      </c>
      <c r="G33" s="4" t="s">
        <v>165</v>
      </c>
      <c r="H33" s="4"/>
      <c r="I33" s="4"/>
    </row>
    <row r="34" spans="1:9" x14ac:dyDescent="0.3">
      <c r="A34" s="53"/>
      <c r="B34" s="4" t="s">
        <v>542</v>
      </c>
      <c r="C34" s="4" t="s">
        <v>544</v>
      </c>
      <c r="D34" s="38" t="str">
        <f t="shared" ref="D34:D65" si="1">IF(E34=1,"완료",IF(E34&gt;0,"진행중","대기"))</f>
        <v>대기</v>
      </c>
      <c r="E34" s="37">
        <v>0</v>
      </c>
      <c r="F34" s="6" t="s">
        <v>528</v>
      </c>
      <c r="G34" s="4" t="s">
        <v>545</v>
      </c>
      <c r="H34" s="4"/>
      <c r="I34" s="4"/>
    </row>
    <row r="35" spans="1:9" x14ac:dyDescent="0.3">
      <c r="A35" s="53"/>
      <c r="B35" s="4" t="s">
        <v>542</v>
      </c>
      <c r="C35" s="4" t="s">
        <v>546</v>
      </c>
      <c r="D35" s="38" t="str">
        <f t="shared" si="1"/>
        <v>대기</v>
      </c>
      <c r="E35" s="37">
        <v>0</v>
      </c>
      <c r="F35" s="6" t="s">
        <v>528</v>
      </c>
      <c r="G35" s="4" t="s">
        <v>542</v>
      </c>
      <c r="H35" s="4"/>
      <c r="I35" s="4"/>
    </row>
    <row r="36" spans="1:9" x14ac:dyDescent="0.3">
      <c r="A36" s="53"/>
      <c r="B36" s="4" t="s">
        <v>523</v>
      </c>
      <c r="C36" s="4" t="s">
        <v>547</v>
      </c>
      <c r="D36" s="38" t="str">
        <f t="shared" si="1"/>
        <v>대기</v>
      </c>
      <c r="E36" s="37">
        <v>0</v>
      </c>
      <c r="F36" s="6" t="s">
        <v>528</v>
      </c>
      <c r="G36" s="4" t="s">
        <v>548</v>
      </c>
      <c r="H36" s="4"/>
      <c r="I36" s="4"/>
    </row>
    <row r="37" spans="1:9" x14ac:dyDescent="0.3">
      <c r="A37" s="53"/>
      <c r="B37" s="4" t="s">
        <v>142</v>
      </c>
      <c r="C37" s="4" t="s">
        <v>549</v>
      </c>
      <c r="D37" s="38" t="str">
        <f t="shared" si="1"/>
        <v>대기</v>
      </c>
      <c r="E37" s="37">
        <v>0</v>
      </c>
      <c r="F37" s="7" t="s">
        <v>550</v>
      </c>
      <c r="G37" s="4" t="s">
        <v>142</v>
      </c>
      <c r="H37" s="4"/>
      <c r="I37" s="4"/>
    </row>
    <row r="38" spans="1:9" x14ac:dyDescent="0.3">
      <c r="A38" s="53"/>
      <c r="B38" s="4" t="s">
        <v>523</v>
      </c>
      <c r="C38" s="4" t="s">
        <v>551</v>
      </c>
      <c r="D38" s="38" t="str">
        <f t="shared" si="1"/>
        <v>대기</v>
      </c>
      <c r="E38" s="37">
        <v>0</v>
      </c>
      <c r="F38" s="7" t="s">
        <v>550</v>
      </c>
      <c r="G38" s="4" t="s">
        <v>526</v>
      </c>
      <c r="H38" s="4"/>
      <c r="I38" s="4"/>
    </row>
    <row r="39" spans="1:9" x14ac:dyDescent="0.3">
      <c r="A39" s="65" t="s">
        <v>178</v>
      </c>
      <c r="B39" s="8" t="s">
        <v>552</v>
      </c>
      <c r="C39" s="8" t="s">
        <v>553</v>
      </c>
      <c r="D39" s="36" t="str">
        <f t="shared" si="1"/>
        <v>완료</v>
      </c>
      <c r="E39" s="40">
        <v>1</v>
      </c>
      <c r="F39" s="9" t="s">
        <v>482</v>
      </c>
      <c r="G39" s="8" t="s">
        <v>483</v>
      </c>
      <c r="H39" s="47">
        <v>46000</v>
      </c>
      <c r="I39" s="8" t="s">
        <v>554</v>
      </c>
    </row>
    <row r="40" spans="1:9" x14ac:dyDescent="0.3">
      <c r="A40" s="53"/>
      <c r="B40" s="8" t="s">
        <v>552</v>
      </c>
      <c r="C40" s="8" t="s">
        <v>121</v>
      </c>
      <c r="D40" s="36" t="str">
        <f t="shared" si="1"/>
        <v>완료</v>
      </c>
      <c r="E40" s="40">
        <v>1</v>
      </c>
      <c r="F40" s="9" t="s">
        <v>482</v>
      </c>
      <c r="G40" s="8" t="s">
        <v>555</v>
      </c>
      <c r="H40" s="47">
        <v>46002</v>
      </c>
      <c r="I40" s="8"/>
    </row>
    <row r="41" spans="1:9" x14ac:dyDescent="0.3">
      <c r="A41" s="53"/>
      <c r="B41" s="8" t="s">
        <v>552</v>
      </c>
      <c r="C41" s="8" t="s">
        <v>125</v>
      </c>
      <c r="D41" s="36" t="str">
        <f t="shared" si="1"/>
        <v>완료</v>
      </c>
      <c r="E41" s="40">
        <v>1</v>
      </c>
      <c r="F41" s="9" t="s">
        <v>482</v>
      </c>
      <c r="G41" s="8" t="s">
        <v>555</v>
      </c>
      <c r="H41" s="47">
        <v>46003</v>
      </c>
      <c r="I41" s="8"/>
    </row>
    <row r="42" spans="1:9" x14ac:dyDescent="0.3">
      <c r="A42" s="53"/>
      <c r="B42" s="8" t="s">
        <v>552</v>
      </c>
      <c r="C42" s="8" t="s">
        <v>556</v>
      </c>
      <c r="D42" s="38" t="str">
        <f t="shared" si="1"/>
        <v>완료</v>
      </c>
      <c r="E42" s="40">
        <v>1</v>
      </c>
      <c r="F42" s="9" t="s">
        <v>482</v>
      </c>
      <c r="G42" s="8" t="s">
        <v>555</v>
      </c>
      <c r="H42" s="47">
        <v>46003</v>
      </c>
      <c r="I42" s="8"/>
    </row>
    <row r="43" spans="1:9" x14ac:dyDescent="0.3">
      <c r="A43" s="53"/>
      <c r="B43" s="8" t="s">
        <v>552</v>
      </c>
      <c r="C43" s="8" t="s">
        <v>557</v>
      </c>
      <c r="D43" s="39" t="str">
        <f t="shared" si="1"/>
        <v>진행중</v>
      </c>
      <c r="E43" s="40">
        <v>0.5</v>
      </c>
      <c r="F43" s="9" t="s">
        <v>482</v>
      </c>
      <c r="G43" s="8" t="s">
        <v>558</v>
      </c>
      <c r="H43" s="8"/>
      <c r="I43" s="8"/>
    </row>
    <row r="44" spans="1:9" x14ac:dyDescent="0.3">
      <c r="A44" s="53"/>
      <c r="B44" s="8" t="s">
        <v>559</v>
      </c>
      <c r="C44" s="8" t="s">
        <v>560</v>
      </c>
      <c r="D44" s="38" t="str">
        <f t="shared" si="1"/>
        <v>진행중</v>
      </c>
      <c r="E44" s="40">
        <v>0.75</v>
      </c>
      <c r="F44" s="9" t="s">
        <v>482</v>
      </c>
      <c r="G44" s="8" t="s">
        <v>483</v>
      </c>
      <c r="H44" s="8"/>
      <c r="I44" s="8"/>
    </row>
    <row r="45" spans="1:9" x14ac:dyDescent="0.3">
      <c r="A45" s="53"/>
      <c r="B45" s="8" t="s">
        <v>559</v>
      </c>
      <c r="C45" s="8" t="s">
        <v>561</v>
      </c>
      <c r="D45" s="38" t="str">
        <f t="shared" si="1"/>
        <v>대기</v>
      </c>
      <c r="E45" s="40">
        <v>0</v>
      </c>
      <c r="F45" s="9" t="s">
        <v>482</v>
      </c>
      <c r="G45" s="8" t="s">
        <v>483</v>
      </c>
      <c r="H45" s="8"/>
      <c r="I45" s="8"/>
    </row>
    <row r="46" spans="1:9" x14ac:dyDescent="0.3">
      <c r="A46" s="53"/>
      <c r="B46" s="8" t="s">
        <v>559</v>
      </c>
      <c r="C46" s="8" t="s">
        <v>562</v>
      </c>
      <c r="D46" s="38" t="str">
        <f t="shared" si="1"/>
        <v>대기</v>
      </c>
      <c r="E46" s="40">
        <v>0</v>
      </c>
      <c r="F46" s="9" t="s">
        <v>482</v>
      </c>
      <c r="G46" s="8" t="s">
        <v>483</v>
      </c>
      <c r="H46" s="8"/>
      <c r="I46" s="8" t="s">
        <v>563</v>
      </c>
    </row>
    <row r="47" spans="1:9" x14ac:dyDescent="0.3">
      <c r="A47" s="53"/>
      <c r="B47" s="8" t="s">
        <v>552</v>
      </c>
      <c r="C47" s="8" t="s">
        <v>564</v>
      </c>
      <c r="D47" s="36" t="str">
        <f t="shared" si="1"/>
        <v>완료</v>
      </c>
      <c r="E47" s="40">
        <v>1</v>
      </c>
      <c r="F47" s="10" t="s">
        <v>528</v>
      </c>
      <c r="G47" s="8" t="s">
        <v>555</v>
      </c>
      <c r="H47" s="47">
        <v>46001</v>
      </c>
      <c r="I47" s="8"/>
    </row>
    <row r="48" spans="1:9" x14ac:dyDescent="0.3">
      <c r="A48" s="53"/>
      <c r="B48" s="8" t="s">
        <v>559</v>
      </c>
      <c r="C48" s="8" t="s">
        <v>565</v>
      </c>
      <c r="D48" s="38" t="str">
        <f t="shared" si="1"/>
        <v>대기</v>
      </c>
      <c r="E48" s="40">
        <v>0</v>
      </c>
      <c r="F48" s="10" t="s">
        <v>528</v>
      </c>
      <c r="G48" s="8" t="s">
        <v>483</v>
      </c>
      <c r="H48" s="8"/>
      <c r="I48" s="8"/>
    </row>
    <row r="49" spans="1:9" x14ac:dyDescent="0.3">
      <c r="A49" s="53"/>
      <c r="B49" s="8" t="s">
        <v>559</v>
      </c>
      <c r="C49" s="8" t="s">
        <v>566</v>
      </c>
      <c r="D49" s="38" t="str">
        <f t="shared" si="1"/>
        <v>대기</v>
      </c>
      <c r="E49" s="40">
        <v>0</v>
      </c>
      <c r="F49" s="10" t="s">
        <v>528</v>
      </c>
      <c r="G49" s="8" t="s">
        <v>483</v>
      </c>
      <c r="H49" s="8"/>
      <c r="I49" s="8"/>
    </row>
    <row r="50" spans="1:9" x14ac:dyDescent="0.3">
      <c r="A50" s="53"/>
      <c r="B50" s="8" t="s">
        <v>559</v>
      </c>
      <c r="C50" s="8" t="s">
        <v>567</v>
      </c>
      <c r="D50" s="38" t="str">
        <f t="shared" si="1"/>
        <v>대기</v>
      </c>
      <c r="E50" s="40">
        <v>0</v>
      </c>
      <c r="F50" s="10" t="s">
        <v>528</v>
      </c>
      <c r="G50" s="8" t="s">
        <v>483</v>
      </c>
      <c r="H50" s="8"/>
      <c r="I50" s="8" t="s">
        <v>568</v>
      </c>
    </row>
    <row r="51" spans="1:9" x14ac:dyDescent="0.3">
      <c r="A51" s="53"/>
      <c r="B51" s="8" t="s">
        <v>559</v>
      </c>
      <c r="C51" s="8" t="s">
        <v>569</v>
      </c>
      <c r="D51" s="38" t="str">
        <f t="shared" si="1"/>
        <v>대기</v>
      </c>
      <c r="E51" s="40">
        <v>0</v>
      </c>
      <c r="F51" s="10" t="s">
        <v>528</v>
      </c>
      <c r="G51" s="8" t="s">
        <v>483</v>
      </c>
      <c r="H51" s="8"/>
      <c r="I51" s="8" t="s">
        <v>570</v>
      </c>
    </row>
    <row r="52" spans="1:9" x14ac:dyDescent="0.3">
      <c r="A52" s="53"/>
      <c r="B52" s="8" t="s">
        <v>571</v>
      </c>
      <c r="C52" s="8" t="s">
        <v>572</v>
      </c>
      <c r="D52" s="38" t="str">
        <f t="shared" si="1"/>
        <v>대기</v>
      </c>
      <c r="E52" s="40">
        <v>0</v>
      </c>
      <c r="F52" s="10" t="s">
        <v>528</v>
      </c>
      <c r="G52" s="8" t="s">
        <v>483</v>
      </c>
      <c r="H52" s="8"/>
      <c r="I52" s="8"/>
    </row>
    <row r="53" spans="1:9" x14ac:dyDescent="0.3">
      <c r="A53" s="53"/>
      <c r="B53" s="8" t="s">
        <v>571</v>
      </c>
      <c r="C53" s="8" t="s">
        <v>573</v>
      </c>
      <c r="D53" s="38" t="str">
        <f t="shared" si="1"/>
        <v>대기</v>
      </c>
      <c r="E53" s="40">
        <v>0</v>
      </c>
      <c r="F53" s="11" t="s">
        <v>550</v>
      </c>
      <c r="G53" s="8" t="s">
        <v>483</v>
      </c>
      <c r="H53" s="8"/>
      <c r="I53" s="8"/>
    </row>
    <row r="54" spans="1:9" x14ac:dyDescent="0.3">
      <c r="A54" s="66" t="s">
        <v>229</v>
      </c>
      <c r="B54" s="12" t="s">
        <v>552</v>
      </c>
      <c r="C54" s="12" t="s">
        <v>574</v>
      </c>
      <c r="D54" s="36" t="str">
        <f t="shared" si="1"/>
        <v>대기</v>
      </c>
      <c r="E54" s="41">
        <v>0</v>
      </c>
      <c r="F54" s="13" t="s">
        <v>482</v>
      </c>
      <c r="G54" s="12" t="s">
        <v>131</v>
      </c>
      <c r="H54" s="12"/>
      <c r="I54" s="12"/>
    </row>
    <row r="55" spans="1:9" x14ac:dyDescent="0.3">
      <c r="A55" s="53"/>
      <c r="B55" s="12" t="s">
        <v>552</v>
      </c>
      <c r="C55" s="12" t="s">
        <v>575</v>
      </c>
      <c r="D55" s="38" t="str">
        <f t="shared" si="1"/>
        <v>대기</v>
      </c>
      <c r="E55" s="41">
        <v>0</v>
      </c>
      <c r="F55" s="13" t="s">
        <v>482</v>
      </c>
      <c r="G55" s="12" t="s">
        <v>230</v>
      </c>
      <c r="H55" s="12"/>
      <c r="I55" s="12"/>
    </row>
    <row r="56" spans="1:9" x14ac:dyDescent="0.3">
      <c r="A56" s="53"/>
      <c r="B56" s="12" t="s">
        <v>552</v>
      </c>
      <c r="C56" s="12" t="s">
        <v>576</v>
      </c>
      <c r="D56" s="36" t="str">
        <f t="shared" si="1"/>
        <v>대기</v>
      </c>
      <c r="E56" s="41">
        <v>0</v>
      </c>
      <c r="F56" s="13" t="s">
        <v>482</v>
      </c>
      <c r="G56" s="12" t="s">
        <v>230</v>
      </c>
      <c r="H56" s="12"/>
      <c r="I56" s="12"/>
    </row>
    <row r="57" spans="1:9" x14ac:dyDescent="0.3">
      <c r="A57" s="53"/>
      <c r="B57" s="12" t="s">
        <v>552</v>
      </c>
      <c r="C57" s="12" t="s">
        <v>577</v>
      </c>
      <c r="D57" s="36" t="str">
        <f t="shared" si="1"/>
        <v>대기</v>
      </c>
      <c r="E57" s="41">
        <v>0</v>
      </c>
      <c r="F57" s="13" t="s">
        <v>482</v>
      </c>
      <c r="G57" s="12" t="s">
        <v>235</v>
      </c>
      <c r="H57" s="12"/>
      <c r="I57" s="12"/>
    </row>
    <row r="58" spans="1:9" x14ac:dyDescent="0.3">
      <c r="A58" s="53"/>
      <c r="B58" s="12" t="s">
        <v>578</v>
      </c>
      <c r="C58" s="12" t="s">
        <v>579</v>
      </c>
      <c r="D58" s="38" t="str">
        <f t="shared" si="1"/>
        <v>대기</v>
      </c>
      <c r="E58" s="41">
        <v>0</v>
      </c>
      <c r="F58" s="13" t="s">
        <v>482</v>
      </c>
      <c r="G58" s="12" t="s">
        <v>580</v>
      </c>
      <c r="H58" s="12"/>
      <c r="I58" s="12"/>
    </row>
    <row r="59" spans="1:9" x14ac:dyDescent="0.3">
      <c r="A59" s="53"/>
      <c r="B59" s="12" t="s">
        <v>552</v>
      </c>
      <c r="C59" s="12" t="s">
        <v>581</v>
      </c>
      <c r="D59" s="38" t="str">
        <f t="shared" si="1"/>
        <v>대기</v>
      </c>
      <c r="E59" s="41">
        <v>0</v>
      </c>
      <c r="F59" s="14" t="s">
        <v>528</v>
      </c>
      <c r="G59" s="12" t="s">
        <v>582</v>
      </c>
      <c r="H59" s="12"/>
      <c r="I59" s="12"/>
    </row>
    <row r="60" spans="1:9" x14ac:dyDescent="0.3">
      <c r="A60" s="53"/>
      <c r="B60" s="12" t="s">
        <v>552</v>
      </c>
      <c r="C60" s="12" t="s">
        <v>583</v>
      </c>
      <c r="D60" s="38" t="str">
        <f t="shared" si="1"/>
        <v>대기</v>
      </c>
      <c r="E60" s="41">
        <v>0</v>
      </c>
      <c r="F60" s="14" t="s">
        <v>528</v>
      </c>
      <c r="G60" s="12" t="s">
        <v>230</v>
      </c>
      <c r="H60" s="12"/>
      <c r="I60" s="12"/>
    </row>
    <row r="61" spans="1:9" x14ac:dyDescent="0.3">
      <c r="A61" s="53"/>
      <c r="B61" s="12" t="s">
        <v>552</v>
      </c>
      <c r="C61" s="12" t="s">
        <v>584</v>
      </c>
      <c r="D61" s="38" t="str">
        <f t="shared" si="1"/>
        <v>대기</v>
      </c>
      <c r="E61" s="41">
        <v>0</v>
      </c>
      <c r="F61" s="14" t="s">
        <v>528</v>
      </c>
      <c r="G61" s="12" t="s">
        <v>230</v>
      </c>
      <c r="H61" s="12"/>
      <c r="I61" s="12"/>
    </row>
    <row r="62" spans="1:9" x14ac:dyDescent="0.3">
      <c r="A62" s="53"/>
      <c r="B62" s="12" t="s">
        <v>578</v>
      </c>
      <c r="C62" s="12" t="s">
        <v>585</v>
      </c>
      <c r="D62" s="38" t="str">
        <f t="shared" si="1"/>
        <v>대기</v>
      </c>
      <c r="E62" s="41">
        <v>0</v>
      </c>
      <c r="F62" s="14" t="s">
        <v>528</v>
      </c>
      <c r="G62" s="12" t="s">
        <v>586</v>
      </c>
      <c r="H62" s="12"/>
      <c r="I62" s="12"/>
    </row>
    <row r="63" spans="1:9" x14ac:dyDescent="0.3">
      <c r="A63" s="53"/>
      <c r="B63" s="12" t="s">
        <v>552</v>
      </c>
      <c r="C63" s="12" t="s">
        <v>587</v>
      </c>
      <c r="D63" s="38" t="str">
        <f t="shared" si="1"/>
        <v>대기</v>
      </c>
      <c r="E63" s="41">
        <v>0</v>
      </c>
      <c r="F63" s="15" t="s">
        <v>550</v>
      </c>
      <c r="G63" s="12" t="s">
        <v>588</v>
      </c>
      <c r="H63" s="12"/>
      <c r="I63" s="12"/>
    </row>
    <row r="64" spans="1:9" x14ac:dyDescent="0.3">
      <c r="A64" s="68" t="s">
        <v>164</v>
      </c>
      <c r="B64" s="16" t="s">
        <v>589</v>
      </c>
      <c r="C64" s="16" t="s">
        <v>291</v>
      </c>
      <c r="D64" s="38" t="str">
        <f t="shared" si="1"/>
        <v>대기</v>
      </c>
      <c r="E64" s="42">
        <v>0</v>
      </c>
      <c r="F64" s="17" t="s">
        <v>482</v>
      </c>
      <c r="G64" s="16" t="s">
        <v>200</v>
      </c>
      <c r="H64" s="16"/>
      <c r="I64" s="16"/>
    </row>
    <row r="65" spans="1:9" x14ac:dyDescent="0.3">
      <c r="A65" s="53"/>
      <c r="B65" s="16" t="s">
        <v>590</v>
      </c>
      <c r="C65" s="16" t="s">
        <v>591</v>
      </c>
      <c r="D65" s="39" t="str">
        <f t="shared" si="1"/>
        <v>대기</v>
      </c>
      <c r="E65" s="42">
        <v>0</v>
      </c>
      <c r="F65" s="17" t="s">
        <v>482</v>
      </c>
      <c r="G65" s="16" t="s">
        <v>523</v>
      </c>
      <c r="H65" s="16"/>
      <c r="I65" s="16" t="s">
        <v>592</v>
      </c>
    </row>
    <row r="66" spans="1:9" x14ac:dyDescent="0.3">
      <c r="A66" s="53"/>
      <c r="B66" s="16" t="s">
        <v>590</v>
      </c>
      <c r="C66" s="16" t="s">
        <v>593</v>
      </c>
      <c r="D66" s="36" t="str">
        <f t="shared" ref="D66:D90" si="2">IF(E66=1,"완료",IF(E66&gt;0,"진행중","대기"))</f>
        <v>진행중</v>
      </c>
      <c r="E66" s="42">
        <v>0.5</v>
      </c>
      <c r="F66" s="17" t="s">
        <v>482</v>
      </c>
      <c r="G66" s="16" t="s">
        <v>85</v>
      </c>
      <c r="H66" s="16"/>
      <c r="I66" s="16"/>
    </row>
    <row r="67" spans="1:9" x14ac:dyDescent="0.3">
      <c r="A67" s="53"/>
      <c r="B67" s="16" t="s">
        <v>590</v>
      </c>
      <c r="C67" s="16" t="s">
        <v>594</v>
      </c>
      <c r="D67" s="39" t="str">
        <f t="shared" si="2"/>
        <v>대기</v>
      </c>
      <c r="E67" s="42">
        <v>0</v>
      </c>
      <c r="F67" s="17" t="s">
        <v>482</v>
      </c>
      <c r="G67" s="16" t="s">
        <v>141</v>
      </c>
      <c r="H67" s="16"/>
      <c r="I67" s="16"/>
    </row>
    <row r="68" spans="1:9" x14ac:dyDescent="0.3">
      <c r="A68" s="53"/>
      <c r="B68" s="16" t="s">
        <v>157</v>
      </c>
      <c r="C68" s="16" t="s">
        <v>595</v>
      </c>
      <c r="D68" s="39" t="str">
        <f t="shared" si="2"/>
        <v>진행중</v>
      </c>
      <c r="E68" s="42">
        <v>0.3</v>
      </c>
      <c r="F68" s="17" t="s">
        <v>482</v>
      </c>
      <c r="G68" s="16" t="s">
        <v>483</v>
      </c>
      <c r="H68" s="16"/>
      <c r="I68" s="16"/>
    </row>
    <row r="69" spans="1:9" x14ac:dyDescent="0.3">
      <c r="A69" s="53"/>
      <c r="B69" s="16" t="s">
        <v>589</v>
      </c>
      <c r="C69" s="16" t="s">
        <v>596</v>
      </c>
      <c r="D69" s="38" t="str">
        <f t="shared" si="2"/>
        <v>대기</v>
      </c>
      <c r="E69" s="42">
        <v>0</v>
      </c>
      <c r="F69" s="18" t="s">
        <v>528</v>
      </c>
      <c r="G69" s="16" t="s">
        <v>483</v>
      </c>
      <c r="H69" s="16"/>
      <c r="I69" s="16"/>
    </row>
    <row r="70" spans="1:9" x14ac:dyDescent="0.3">
      <c r="A70" s="53"/>
      <c r="B70" s="16" t="s">
        <v>157</v>
      </c>
      <c r="C70" s="16" t="s">
        <v>597</v>
      </c>
      <c r="D70" s="38" t="str">
        <f t="shared" si="2"/>
        <v>대기</v>
      </c>
      <c r="E70" s="42">
        <v>0</v>
      </c>
      <c r="F70" s="18" t="s">
        <v>528</v>
      </c>
      <c r="G70" s="16" t="s">
        <v>595</v>
      </c>
      <c r="H70" s="16"/>
      <c r="I70" s="16"/>
    </row>
    <row r="71" spans="1:9" x14ac:dyDescent="0.3">
      <c r="A71" s="53"/>
      <c r="B71" s="16" t="s">
        <v>157</v>
      </c>
      <c r="C71" s="16" t="s">
        <v>598</v>
      </c>
      <c r="D71" s="38" t="str">
        <f t="shared" si="2"/>
        <v>대기</v>
      </c>
      <c r="E71" s="42">
        <v>0</v>
      </c>
      <c r="F71" s="18" t="s">
        <v>528</v>
      </c>
      <c r="G71" s="16" t="s">
        <v>595</v>
      </c>
      <c r="H71" s="16"/>
      <c r="I71" s="16"/>
    </row>
    <row r="72" spans="1:9" x14ac:dyDescent="0.3">
      <c r="A72" s="53"/>
      <c r="B72" s="16" t="s">
        <v>589</v>
      </c>
      <c r="C72" s="16" t="s">
        <v>599</v>
      </c>
      <c r="D72" s="38" t="str">
        <f t="shared" si="2"/>
        <v>대기</v>
      </c>
      <c r="E72" s="42">
        <v>0</v>
      </c>
      <c r="F72" s="19" t="s">
        <v>550</v>
      </c>
      <c r="G72" s="16" t="s">
        <v>483</v>
      </c>
      <c r="H72" s="16"/>
      <c r="I72" s="16"/>
    </row>
    <row r="73" spans="1:9" x14ac:dyDescent="0.3">
      <c r="A73" s="53"/>
      <c r="B73" s="16" t="s">
        <v>571</v>
      </c>
      <c r="C73" s="16" t="s">
        <v>600</v>
      </c>
      <c r="D73" s="38" t="str">
        <f t="shared" si="2"/>
        <v>대기</v>
      </c>
      <c r="E73" s="42">
        <v>0</v>
      </c>
      <c r="F73" s="19" t="s">
        <v>550</v>
      </c>
      <c r="G73" s="16" t="s">
        <v>542</v>
      </c>
      <c r="H73" s="16"/>
      <c r="I73" s="16"/>
    </row>
    <row r="74" spans="1:9" x14ac:dyDescent="0.3">
      <c r="A74" s="69" t="s">
        <v>376</v>
      </c>
      <c r="B74" s="20" t="s">
        <v>377</v>
      </c>
      <c r="C74" s="20" t="s">
        <v>601</v>
      </c>
      <c r="D74" s="38" t="str">
        <f t="shared" si="2"/>
        <v>대기</v>
      </c>
      <c r="E74" s="43">
        <v>0</v>
      </c>
      <c r="F74" s="21" t="s">
        <v>482</v>
      </c>
      <c r="G74" s="20" t="s">
        <v>602</v>
      </c>
      <c r="H74" s="20"/>
      <c r="I74" s="20"/>
    </row>
    <row r="75" spans="1:9" x14ac:dyDescent="0.3">
      <c r="A75" s="53"/>
      <c r="B75" s="20" t="s">
        <v>377</v>
      </c>
      <c r="C75" s="20" t="s">
        <v>603</v>
      </c>
      <c r="D75" s="38" t="str">
        <f t="shared" si="2"/>
        <v>대기</v>
      </c>
      <c r="E75" s="43">
        <v>0</v>
      </c>
      <c r="F75" s="21" t="s">
        <v>482</v>
      </c>
      <c r="G75" s="20" t="s">
        <v>601</v>
      </c>
      <c r="H75" s="20"/>
      <c r="I75" s="20"/>
    </row>
    <row r="76" spans="1:9" x14ac:dyDescent="0.3">
      <c r="A76" s="53"/>
      <c r="B76" s="20" t="s">
        <v>377</v>
      </c>
      <c r="C76" s="20" t="s">
        <v>604</v>
      </c>
      <c r="D76" s="38" t="str">
        <f t="shared" si="2"/>
        <v>대기</v>
      </c>
      <c r="E76" s="43">
        <v>0</v>
      </c>
      <c r="F76" s="21" t="s">
        <v>482</v>
      </c>
      <c r="G76" s="20" t="s">
        <v>601</v>
      </c>
      <c r="H76" s="20"/>
      <c r="I76" s="20"/>
    </row>
    <row r="77" spans="1:9" x14ac:dyDescent="0.3">
      <c r="A77" s="53"/>
      <c r="B77" s="20" t="s">
        <v>403</v>
      </c>
      <c r="C77" s="20" t="s">
        <v>605</v>
      </c>
      <c r="D77" s="38" t="str">
        <f t="shared" si="2"/>
        <v>대기</v>
      </c>
      <c r="E77" s="43">
        <v>0</v>
      </c>
      <c r="F77" s="21" t="s">
        <v>482</v>
      </c>
      <c r="G77" s="20" t="s">
        <v>580</v>
      </c>
      <c r="H77" s="20"/>
      <c r="I77" s="20"/>
    </row>
    <row r="78" spans="1:9" x14ac:dyDescent="0.3">
      <c r="A78" s="53"/>
      <c r="B78" s="20" t="s">
        <v>403</v>
      </c>
      <c r="C78" s="20" t="s">
        <v>606</v>
      </c>
      <c r="D78" s="38" t="str">
        <f t="shared" si="2"/>
        <v>대기</v>
      </c>
      <c r="E78" s="43">
        <v>0</v>
      </c>
      <c r="F78" s="21" t="s">
        <v>482</v>
      </c>
      <c r="G78" s="20" t="s">
        <v>607</v>
      </c>
      <c r="H78" s="20"/>
      <c r="I78" s="20"/>
    </row>
    <row r="79" spans="1:9" x14ac:dyDescent="0.3">
      <c r="A79" s="53"/>
      <c r="B79" s="20" t="s">
        <v>403</v>
      </c>
      <c r="C79" s="20" t="s">
        <v>608</v>
      </c>
      <c r="D79" s="38" t="str">
        <f t="shared" si="2"/>
        <v>대기</v>
      </c>
      <c r="E79" s="43">
        <v>0</v>
      </c>
      <c r="F79" s="21" t="s">
        <v>482</v>
      </c>
      <c r="G79" s="20" t="s">
        <v>609</v>
      </c>
      <c r="H79" s="20"/>
      <c r="I79" s="20"/>
    </row>
    <row r="80" spans="1:9" x14ac:dyDescent="0.3">
      <c r="A80" s="53"/>
      <c r="B80" s="20" t="s">
        <v>377</v>
      </c>
      <c r="C80" s="20" t="s">
        <v>394</v>
      </c>
      <c r="D80" s="38" t="str">
        <f t="shared" si="2"/>
        <v>대기</v>
      </c>
      <c r="E80" s="43">
        <v>0</v>
      </c>
      <c r="F80" s="22" t="s">
        <v>528</v>
      </c>
      <c r="G80" s="20" t="s">
        <v>610</v>
      </c>
      <c r="H80" s="20"/>
      <c r="I80" s="20"/>
    </row>
    <row r="81" spans="1:9" x14ac:dyDescent="0.3">
      <c r="A81" s="53"/>
      <c r="B81" s="20" t="s">
        <v>425</v>
      </c>
      <c r="C81" s="20" t="s">
        <v>611</v>
      </c>
      <c r="D81" s="38" t="str">
        <f t="shared" si="2"/>
        <v>대기</v>
      </c>
      <c r="E81" s="43">
        <v>0</v>
      </c>
      <c r="F81" s="22" t="s">
        <v>528</v>
      </c>
      <c r="G81" s="20" t="s">
        <v>612</v>
      </c>
      <c r="H81" s="20"/>
      <c r="I81" s="20"/>
    </row>
    <row r="82" spans="1:9" x14ac:dyDescent="0.3">
      <c r="A82" s="53"/>
      <c r="B82" s="20" t="s">
        <v>425</v>
      </c>
      <c r="C82" s="20" t="s">
        <v>613</v>
      </c>
      <c r="D82" s="38" t="str">
        <f t="shared" si="2"/>
        <v>대기</v>
      </c>
      <c r="E82" s="43">
        <v>0</v>
      </c>
      <c r="F82" s="22" t="s">
        <v>528</v>
      </c>
      <c r="G82" s="20" t="s">
        <v>614</v>
      </c>
      <c r="H82" s="20"/>
      <c r="I82" s="20"/>
    </row>
    <row r="83" spans="1:9" x14ac:dyDescent="0.3">
      <c r="A83" s="53"/>
      <c r="B83" s="20" t="s">
        <v>425</v>
      </c>
      <c r="C83" s="20" t="s">
        <v>615</v>
      </c>
      <c r="D83" s="38" t="str">
        <f t="shared" si="2"/>
        <v>대기</v>
      </c>
      <c r="E83" s="43">
        <v>0</v>
      </c>
      <c r="F83" s="22" t="s">
        <v>528</v>
      </c>
      <c r="G83" s="20" t="s">
        <v>614</v>
      </c>
      <c r="H83" s="20"/>
      <c r="I83" s="20"/>
    </row>
    <row r="84" spans="1:9" x14ac:dyDescent="0.3">
      <c r="A84" s="53"/>
      <c r="B84" s="20" t="s">
        <v>434</v>
      </c>
      <c r="C84" s="20" t="s">
        <v>616</v>
      </c>
      <c r="D84" s="38" t="str">
        <f t="shared" si="2"/>
        <v>대기</v>
      </c>
      <c r="E84" s="43">
        <v>0</v>
      </c>
      <c r="F84" s="23" t="s">
        <v>550</v>
      </c>
      <c r="G84" s="20" t="s">
        <v>617</v>
      </c>
      <c r="H84" s="20"/>
      <c r="I84" s="20"/>
    </row>
    <row r="85" spans="1:9" x14ac:dyDescent="0.3">
      <c r="A85" s="53"/>
      <c r="B85" s="20" t="s">
        <v>434</v>
      </c>
      <c r="C85" s="20" t="s">
        <v>618</v>
      </c>
      <c r="D85" s="38" t="str">
        <f t="shared" si="2"/>
        <v>대기</v>
      </c>
      <c r="E85" s="43">
        <v>0</v>
      </c>
      <c r="F85" s="23" t="s">
        <v>550</v>
      </c>
      <c r="G85" s="20" t="s">
        <v>614</v>
      </c>
      <c r="H85" s="20"/>
      <c r="I85" s="20"/>
    </row>
    <row r="86" spans="1:9" x14ac:dyDescent="0.3">
      <c r="A86" s="64" t="s">
        <v>619</v>
      </c>
      <c r="B86" s="24" t="s">
        <v>468</v>
      </c>
      <c r="C86" s="24" t="s">
        <v>471</v>
      </c>
      <c r="D86" s="38" t="str">
        <f t="shared" si="2"/>
        <v>대기</v>
      </c>
      <c r="E86" s="44">
        <v>0</v>
      </c>
      <c r="F86" s="25" t="s">
        <v>482</v>
      </c>
      <c r="G86" s="24" t="s">
        <v>200</v>
      </c>
      <c r="H86" s="24"/>
      <c r="I86" s="24"/>
    </row>
    <row r="87" spans="1:9" x14ac:dyDescent="0.3">
      <c r="A87" s="53"/>
      <c r="B87" s="24" t="s">
        <v>468</v>
      </c>
      <c r="C87" s="24" t="s">
        <v>620</v>
      </c>
      <c r="D87" s="38" t="str">
        <f t="shared" si="2"/>
        <v>대기</v>
      </c>
      <c r="E87" s="44">
        <v>0</v>
      </c>
      <c r="F87" s="25" t="s">
        <v>482</v>
      </c>
      <c r="G87" s="24" t="s">
        <v>621</v>
      </c>
      <c r="H87" s="24"/>
      <c r="I87" s="24"/>
    </row>
    <row r="88" spans="1:9" x14ac:dyDescent="0.3">
      <c r="A88" s="53"/>
      <c r="B88" s="24" t="s">
        <v>468</v>
      </c>
      <c r="C88" s="24" t="s">
        <v>622</v>
      </c>
      <c r="D88" s="38" t="str">
        <f t="shared" si="2"/>
        <v>대기</v>
      </c>
      <c r="E88" s="44">
        <v>0</v>
      </c>
      <c r="F88" s="26" t="s">
        <v>528</v>
      </c>
      <c r="G88" s="24" t="s">
        <v>623</v>
      </c>
      <c r="H88" s="24"/>
      <c r="I88" s="24"/>
    </row>
    <row r="89" spans="1:9" x14ac:dyDescent="0.3">
      <c r="A89" s="53"/>
      <c r="B89" s="24" t="s">
        <v>468</v>
      </c>
      <c r="C89" s="24" t="s">
        <v>624</v>
      </c>
      <c r="D89" s="38" t="str">
        <f t="shared" si="2"/>
        <v>대기</v>
      </c>
      <c r="E89" s="44">
        <v>0</v>
      </c>
      <c r="F89" s="26" t="s">
        <v>528</v>
      </c>
      <c r="G89" s="24" t="s">
        <v>623</v>
      </c>
      <c r="H89" s="24"/>
      <c r="I89" s="24"/>
    </row>
    <row r="90" spans="1:9" x14ac:dyDescent="0.3">
      <c r="A90" s="53"/>
      <c r="B90" s="24" t="s">
        <v>468</v>
      </c>
      <c r="C90" s="24" t="s">
        <v>625</v>
      </c>
      <c r="D90" s="38" t="str">
        <f t="shared" si="2"/>
        <v>대기</v>
      </c>
      <c r="E90" s="44">
        <v>0</v>
      </c>
      <c r="F90" s="26" t="s">
        <v>528</v>
      </c>
      <c r="G90" s="24" t="s">
        <v>483</v>
      </c>
      <c r="H90" s="24"/>
      <c r="I90" s="24"/>
    </row>
  </sheetData>
  <mergeCells count="6">
    <mergeCell ref="A86:A90"/>
    <mergeCell ref="A39:A53"/>
    <mergeCell ref="A54:A63"/>
    <mergeCell ref="A2:A38"/>
    <mergeCell ref="A64:A73"/>
    <mergeCell ref="A74:A85"/>
  </mergeCells>
  <phoneticPr fontId="17" type="noConversion"/>
  <conditionalFormatting sqref="D2:D90">
    <cfRule type="cellIs" dxfId="8" priority="1" operator="equal">
      <formula>"완료"</formula>
    </cfRule>
    <cfRule type="cellIs" dxfId="7" priority="2" operator="equal">
      <formula>"진행중"</formula>
    </cfRule>
    <cfRule type="cellIs" dxfId="6" priority="3" operator="equal">
      <formula>"대기"</formula>
    </cfRule>
  </conditionalFormatting>
  <conditionalFormatting sqref="E2:E90">
    <cfRule type="cellIs" dxfId="5" priority="4" operator="equal">
      <formula>1</formula>
    </cfRule>
    <cfRule type="cellIs" dxfId="4" priority="5" operator="between">
      <formula>0.75</formula>
      <formula>0.99</formula>
    </cfRule>
    <cfRule type="cellIs" dxfId="3" priority="6" operator="between">
      <formula>0.5</formula>
      <formula>0.74</formula>
    </cfRule>
    <cfRule type="cellIs" dxfId="2" priority="7" operator="between">
      <formula>0.25</formula>
      <formula>0.49</formula>
    </cfRule>
    <cfRule type="cellIs" dxfId="1" priority="8" operator="between">
      <formula>0.01</formula>
      <formula>0.24</formula>
    </cfRule>
    <cfRule type="cellIs" dxfId="0" priority="9" operator="equal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4"/>
  <sheetViews>
    <sheetView workbookViewId="0">
      <selection activeCell="F14" sqref="F14"/>
    </sheetView>
  </sheetViews>
  <sheetFormatPr defaultRowHeight="16.5" x14ac:dyDescent="0.3"/>
  <cols>
    <col min="1" max="1" width="10" customWidth="1"/>
    <col min="2" max="2" width="12" customWidth="1"/>
    <col min="3" max="3" width="45" customWidth="1"/>
    <col min="4" max="4" width="55" customWidth="1"/>
    <col min="5" max="6" width="12" customWidth="1"/>
    <col min="7" max="7" width="35" customWidth="1"/>
  </cols>
  <sheetData>
    <row r="1" spans="1:7" x14ac:dyDescent="0.3">
      <c r="A1" s="1" t="s">
        <v>626</v>
      </c>
      <c r="B1" s="1" t="s">
        <v>627</v>
      </c>
      <c r="C1" s="1" t="s">
        <v>628</v>
      </c>
      <c r="D1" s="1" t="s">
        <v>629</v>
      </c>
      <c r="E1" s="1" t="s">
        <v>475</v>
      </c>
      <c r="F1" s="1" t="s">
        <v>630</v>
      </c>
      <c r="G1" s="1" t="s">
        <v>631</v>
      </c>
    </row>
    <row r="2" spans="1:7" x14ac:dyDescent="0.3">
      <c r="A2" s="27" t="s">
        <v>632</v>
      </c>
      <c r="B2" s="27" t="s">
        <v>633</v>
      </c>
      <c r="C2" s="27" t="s">
        <v>13</v>
      </c>
      <c r="D2" s="27" t="s">
        <v>634</v>
      </c>
      <c r="E2" s="28" t="s">
        <v>16</v>
      </c>
      <c r="F2" s="27" t="s">
        <v>635</v>
      </c>
      <c r="G2" s="27"/>
    </row>
    <row r="3" spans="1:7" x14ac:dyDescent="0.3">
      <c r="A3" s="27" t="s">
        <v>636</v>
      </c>
      <c r="B3" s="27" t="s">
        <v>637</v>
      </c>
      <c r="C3" s="27" t="s">
        <v>638</v>
      </c>
      <c r="D3" s="27" t="s">
        <v>639</v>
      </c>
      <c r="E3" s="28" t="s">
        <v>16</v>
      </c>
      <c r="F3" s="27" t="s">
        <v>635</v>
      </c>
      <c r="G3" s="27"/>
    </row>
    <row r="4" spans="1:7" x14ac:dyDescent="0.3">
      <c r="A4" s="27" t="s">
        <v>640</v>
      </c>
      <c r="B4" s="27" t="s">
        <v>641</v>
      </c>
      <c r="C4" s="27" t="s">
        <v>642</v>
      </c>
      <c r="D4" s="27" t="s">
        <v>643</v>
      </c>
      <c r="E4" s="28" t="s">
        <v>16</v>
      </c>
      <c r="F4" s="27" t="s">
        <v>635</v>
      </c>
      <c r="G4" s="27"/>
    </row>
    <row r="5" spans="1:7" x14ac:dyDescent="0.3">
      <c r="A5" s="27" t="s">
        <v>644</v>
      </c>
      <c r="B5" s="27" t="s">
        <v>645</v>
      </c>
      <c r="C5" s="27" t="s">
        <v>646</v>
      </c>
      <c r="D5" s="27" t="s">
        <v>647</v>
      </c>
      <c r="E5" s="29" t="s">
        <v>22</v>
      </c>
      <c r="F5" s="48">
        <v>0.7</v>
      </c>
      <c r="G5" s="27" t="s">
        <v>648</v>
      </c>
    </row>
    <row r="6" spans="1:7" x14ac:dyDescent="0.3">
      <c r="A6" s="27" t="s">
        <v>649</v>
      </c>
      <c r="B6" s="27" t="s">
        <v>650</v>
      </c>
      <c r="C6" s="27" t="s">
        <v>651</v>
      </c>
      <c r="D6" s="27" t="s">
        <v>652</v>
      </c>
      <c r="E6" s="27" t="s">
        <v>25</v>
      </c>
      <c r="F6" s="27" t="s">
        <v>653</v>
      </c>
      <c r="G6" s="27" t="s">
        <v>654</v>
      </c>
    </row>
    <row r="7" spans="1:7" x14ac:dyDescent="0.3">
      <c r="A7" s="27" t="s">
        <v>655</v>
      </c>
      <c r="B7" s="27" t="s">
        <v>656</v>
      </c>
      <c r="C7" s="27" t="s">
        <v>657</v>
      </c>
      <c r="D7" s="27" t="s">
        <v>658</v>
      </c>
      <c r="E7" s="30" t="s">
        <v>659</v>
      </c>
      <c r="F7" s="27" t="s">
        <v>660</v>
      </c>
      <c r="G7" s="27" t="s">
        <v>661</v>
      </c>
    </row>
    <row r="8" spans="1:7" x14ac:dyDescent="0.3">
      <c r="A8" s="27" t="s">
        <v>662</v>
      </c>
      <c r="B8" s="27" t="s">
        <v>663</v>
      </c>
      <c r="C8" s="27" t="s">
        <v>664</v>
      </c>
      <c r="D8" s="27" t="s">
        <v>665</v>
      </c>
      <c r="E8" s="27" t="s">
        <v>25</v>
      </c>
      <c r="F8" s="27" t="s">
        <v>653</v>
      </c>
      <c r="G8" s="27"/>
    </row>
    <row r="9" spans="1:7" ht="33" customHeight="1" x14ac:dyDescent="0.3">
      <c r="A9" s="27" t="s">
        <v>666</v>
      </c>
      <c r="B9" s="27" t="s">
        <v>667</v>
      </c>
      <c r="C9" s="27" t="s">
        <v>668</v>
      </c>
      <c r="D9" s="27" t="s">
        <v>669</v>
      </c>
      <c r="E9" s="27" t="s">
        <v>25</v>
      </c>
      <c r="F9" s="27" t="s">
        <v>653</v>
      </c>
      <c r="G9" s="27"/>
    </row>
    <row r="10" spans="1:7" x14ac:dyDescent="0.3">
      <c r="A10" s="27" t="s">
        <v>670</v>
      </c>
      <c r="B10" s="27" t="s">
        <v>671</v>
      </c>
      <c r="C10" s="27" t="s">
        <v>343</v>
      </c>
      <c r="D10" s="27" t="s">
        <v>672</v>
      </c>
      <c r="E10" s="27" t="s">
        <v>25</v>
      </c>
      <c r="F10" s="27" t="s">
        <v>653</v>
      </c>
      <c r="G10" s="27"/>
    </row>
    <row r="11" spans="1:7" x14ac:dyDescent="0.3">
      <c r="A11" s="27" t="s">
        <v>673</v>
      </c>
      <c r="B11" s="27" t="s">
        <v>674</v>
      </c>
      <c r="C11" s="27" t="s">
        <v>675</v>
      </c>
      <c r="D11" s="27" t="s">
        <v>676</v>
      </c>
      <c r="E11" s="27" t="s">
        <v>25</v>
      </c>
      <c r="F11" s="27" t="s">
        <v>653</v>
      </c>
      <c r="G11" s="27"/>
    </row>
    <row r="12" spans="1:7" x14ac:dyDescent="0.3">
      <c r="A12" s="27" t="s">
        <v>677</v>
      </c>
      <c r="B12" s="27" t="s">
        <v>678</v>
      </c>
      <c r="C12" s="27" t="s">
        <v>679</v>
      </c>
      <c r="D12" s="27" t="s">
        <v>680</v>
      </c>
      <c r="E12" s="27" t="s">
        <v>25</v>
      </c>
      <c r="F12" s="27" t="s">
        <v>653</v>
      </c>
      <c r="G12" s="27"/>
    </row>
    <row r="13" spans="1:7" x14ac:dyDescent="0.3">
      <c r="A13" s="27" t="s">
        <v>681</v>
      </c>
      <c r="B13" s="27" t="s">
        <v>682</v>
      </c>
      <c r="C13" s="27" t="s">
        <v>683</v>
      </c>
      <c r="D13" s="27" t="s">
        <v>684</v>
      </c>
      <c r="E13" s="27" t="s">
        <v>25</v>
      </c>
      <c r="F13" s="27" t="s">
        <v>653</v>
      </c>
      <c r="G13" s="27"/>
    </row>
    <row r="14" spans="1:7" x14ac:dyDescent="0.3">
      <c r="A14" s="27" t="s">
        <v>685</v>
      </c>
      <c r="B14" s="27" t="s">
        <v>686</v>
      </c>
      <c r="C14" s="27" t="s">
        <v>687</v>
      </c>
      <c r="D14" s="27" t="s">
        <v>688</v>
      </c>
      <c r="E14" s="27" t="s">
        <v>25</v>
      </c>
      <c r="F14" s="27" t="s">
        <v>653</v>
      </c>
      <c r="G14" s="27"/>
    </row>
  </sheetData>
  <phoneticPr fontId="1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Daily Tasks</vt:lpstr>
      <vt:lpstr>Feature Tracker</vt:lpstr>
      <vt:lpstr>Weekly Milestones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박태영</cp:lastModifiedBy>
  <dcterms:created xsi:type="dcterms:W3CDTF">2025-12-18T04:38:48Z</dcterms:created>
  <dcterms:modified xsi:type="dcterms:W3CDTF">2025-12-27T15:34:24Z</dcterms:modified>
</cp:coreProperties>
</file>