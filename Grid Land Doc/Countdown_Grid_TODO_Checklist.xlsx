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par\Desktop\Document\Grid Land Doc\"/>
    </mc:Choice>
  </mc:AlternateContent>
  <xr:revisionPtr revIDLastSave="0" documentId="13_ncr:1_{CA78F13E-FE08-4A79-9F0C-61DC488064A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ily Tasks" sheetId="1" r:id="rId1"/>
    <sheet name="Feature Tracker" sheetId="2" r:id="rId2"/>
    <sheet name="Weekly Milest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2" i="1"/>
  <c r="N3" i="1" s="1"/>
</calcChain>
</file>

<file path=xl/sharedStrings.xml><?xml version="1.0" encoding="utf-8"?>
<sst xmlns="http://schemas.openxmlformats.org/spreadsheetml/2006/main" count="555" uniqueCount="225">
  <si>
    <t>Day</t>
  </si>
  <si>
    <t>Date</t>
  </si>
  <si>
    <t>Category</t>
  </si>
  <si>
    <t>Feature</t>
  </si>
  <si>
    <t>Sub-Task</t>
  </si>
  <si>
    <t>Status</t>
  </si>
  <si>
    <t>Est(h)</t>
  </si>
  <si>
    <t>Act(h)</t>
  </si>
  <si>
    <t>Blocker</t>
  </si>
  <si>
    <t>Notes</t>
  </si>
  <si>
    <t>일일 진행률</t>
  </si>
  <si>
    <t>📊 전체 진행률</t>
  </si>
  <si>
    <t>2026-01-21</t>
  </si>
  <si>
    <t>프로젝트 초기 설정</t>
  </si>
  <si>
    <t>Unity 프로젝트</t>
  </si>
  <si>
    <t>새 Unity 2D 프로젝트 생성</t>
  </si>
  <si>
    <t>대기</t>
  </si>
  <si>
    <t>완료</t>
  </si>
  <si>
    <t>Git 저장소 초기화 및 .gitignore 설정</t>
  </si>
  <si>
    <t>완료율</t>
  </si>
  <si>
    <t>기본 폴더 구조 생성 (Scripts, Scenes, Prefabs, UI)</t>
  </si>
  <si>
    <t>진행중</t>
  </si>
  <si>
    <t>그리드 시스템</t>
  </si>
  <si>
    <t>5×5 그리드</t>
  </si>
  <si>
    <t>Grid Manager 스크립트 생성</t>
  </si>
  <si>
    <t>Tile 프리팹 생성 (Sprite + 숫자 Text)</t>
  </si>
  <si>
    <t>경과일</t>
  </si>
  <si>
    <t>Day 1 / 18</t>
  </si>
  <si>
    <t>5×5 그리드 생성 로직 구현</t>
  </si>
  <si>
    <t>목표일</t>
  </si>
  <si>
    <t>2026-02-07</t>
  </si>
  <si>
    <t>2026-01-22</t>
  </si>
  <si>
    <t>타일 위치 계산 및 정렬</t>
  </si>
  <si>
    <t>타일 카운트다운</t>
  </si>
  <si>
    <t>숫자 시스템</t>
  </si>
  <si>
    <t>각 타일에 1~8 랜덤 숫자 할당</t>
  </si>
  <si>
    <t>타일 숫자 UI 표시 (TextMeshPro)</t>
  </si>
  <si>
    <t>매 턴 모든 타일 -1 로직</t>
  </si>
  <si>
    <t>타일 0 처리 (건물 파괴)</t>
  </si>
  <si>
    <t>2026-01-23</t>
  </si>
  <si>
    <t>기본 UI</t>
  </si>
  <si>
    <t>UI 구조</t>
  </si>
  <si>
    <t>Canvas 생성 및 기본 레이아웃</t>
  </si>
  <si>
    <t>자원 표시 UI (식량, 목재)</t>
  </si>
  <si>
    <t>턴 진행 버튼</t>
  </si>
  <si>
    <t>타일 클릭 감지 시스템</t>
  </si>
  <si>
    <t>자원 시스템</t>
  </si>
  <si>
    <t>Resource Manager</t>
  </si>
  <si>
    <t>ResourceManager 스크립트 생성</t>
  </si>
  <si>
    <t>식량/목재 변수 및 초기값 설정</t>
  </si>
  <si>
    <t>2026-01-24</t>
  </si>
  <si>
    <t>자원 증감 메서드 구현</t>
  </si>
  <si>
    <t>자원 UI 업데이트 연결</t>
  </si>
  <si>
    <t>건물 시스템</t>
  </si>
  <si>
    <t>Building System</t>
  </si>
  <si>
    <t>Building 베이스 클래스 생성</t>
  </si>
  <si>
    <t>농장 프리팹 및 스크립트</t>
  </si>
  <si>
    <t>2026-01-25</t>
  </si>
  <si>
    <t>벌목장 프리팹 및 스크립트</t>
  </si>
  <si>
    <t>항구 프리팹 및 스크립트</t>
  </si>
  <si>
    <t>건물 배치</t>
  </si>
  <si>
    <t>건물 배치 UI</t>
  </si>
  <si>
    <t>건물 선택 패널 UI 생성</t>
  </si>
  <si>
    <t>2026-01-26</t>
  </si>
  <si>
    <t>타일 클릭 → 건물 배치 로직</t>
  </si>
  <si>
    <t>건설 비용 차감 로직</t>
  </si>
  <si>
    <t>건물 철거 기능</t>
  </si>
  <si>
    <t>2026-01-27</t>
  </si>
  <si>
    <t>생산 로직</t>
  </si>
  <si>
    <t>자원 생산</t>
  </si>
  <si>
    <t>농장 생산 공식 구현 (타일 숫자 기반)</t>
  </si>
  <si>
    <t>벌목장 고정 생산 구현</t>
  </si>
  <si>
    <t>턴마다 생산 처리 로직</t>
  </si>
  <si>
    <t>턴 시스템</t>
  </si>
  <si>
    <t>Turn Manager</t>
  </si>
  <si>
    <t>TurnManager 스크립트 생성</t>
  </si>
  <si>
    <t>2026-01-28</t>
  </si>
  <si>
    <t>턴 진행 순서 구현 (8단계)</t>
  </si>
  <si>
    <t>식량 소비 로직</t>
  </si>
  <si>
    <t>항구 유지비 처리</t>
  </si>
  <si>
    <t>2026-01-29</t>
  </si>
  <si>
    <t>항구 시스템</t>
  </si>
  <si>
    <t>Harbor System</t>
  </si>
  <si>
    <t>항구 건설 제한 (1개)</t>
  </si>
  <si>
    <t>목재 투입 UI</t>
  </si>
  <si>
    <t>누적 카운터 로직</t>
  </si>
  <si>
    <t>2026-01-30</t>
  </si>
  <si>
    <t>승리/패배 조건</t>
  </si>
  <si>
    <t>Game Flow</t>
  </si>
  <si>
    <t>식량 0 체크 → 게임 오버</t>
  </si>
  <si>
    <t>결과 화면 UI</t>
  </si>
  <si>
    <t>재시작 기능</t>
  </si>
  <si>
    <t>2026-01-31</t>
  </si>
  <si>
    <t>UI 완성</t>
  </si>
  <si>
    <t>전체 UI</t>
  </si>
  <si>
    <t>턴 요약 정보 표시</t>
  </si>
  <si>
    <t>건물 아이콘 추가</t>
  </si>
  <si>
    <t>타일 색상 변화 (숫자 기반)</t>
  </si>
  <si>
    <t>2026-02-01</t>
  </si>
  <si>
    <t>튜토리얼 팝업 (3~4단계)</t>
  </si>
  <si>
    <t>밸런싱</t>
  </si>
  <si>
    <t>수치 조정</t>
  </si>
  <si>
    <t>초기 자원 값 설정</t>
  </si>
  <si>
    <t>농장/벌목장 생산량 테스트</t>
  </si>
  <si>
    <t>2026-02-02</t>
  </si>
  <si>
    <t>항구 유지비 조정</t>
  </si>
  <si>
    <t>플레이 테스트 (3~5판)</t>
  </si>
  <si>
    <t>2026-02-03</t>
  </si>
  <si>
    <t>밸런싱 &amp; 폴리싱</t>
  </si>
  <si>
    <t>Final Polish</t>
  </si>
  <si>
    <t>최종 밸런싱 (수치 미세 조정)</t>
  </si>
  <si>
    <t>2026-02-04</t>
  </si>
  <si>
    <t>버그 수정</t>
  </si>
  <si>
    <t>UI 폴리싱 (정렬, 색상)</t>
  </si>
  <si>
    <t>2026-02-05</t>
  </si>
  <si>
    <t>사운드 효과 추가 (선택)</t>
  </si>
  <si>
    <t>빌드 &amp; 테스트</t>
  </si>
  <si>
    <t>Build</t>
  </si>
  <si>
    <t>Windows 빌드 생성</t>
  </si>
  <si>
    <t>빌드 테스트 (다른 PC)</t>
  </si>
  <si>
    <t>2026-02-06</t>
  </si>
  <si>
    <t>해상도/설정 확인</t>
  </si>
  <si>
    <t>Steam 준비</t>
  </si>
  <si>
    <t>Steam Page</t>
  </si>
  <si>
    <t>Steam 파트너 계정 설정</t>
  </si>
  <si>
    <t>게임 제목/설명 작성</t>
  </si>
  <si>
    <t>스크린샷 촬영 (5~10장)</t>
  </si>
  <si>
    <t>태그 선택 (전략, 시뮬레이션 등)</t>
  </si>
  <si>
    <t>가격 설정</t>
  </si>
  <si>
    <t>빌드 업로드</t>
  </si>
  <si>
    <t>Sub-Feature</t>
  </si>
  <si>
    <t>Progress</t>
  </si>
  <si>
    <t>Priority</t>
  </si>
  <si>
    <t>Dependencies</t>
  </si>
  <si>
    <t>Completion Date</t>
  </si>
  <si>
    <t>Grid Manager 구현</t>
  </si>
  <si>
    <t>0%</t>
  </si>
  <si>
    <t>높음</t>
  </si>
  <si>
    <t>-</t>
  </si>
  <si>
    <t>Tile 프리팹 생성</t>
  </si>
  <si>
    <t>Grid Manager</t>
  </si>
  <si>
    <t>숫자 할당 및 표시</t>
  </si>
  <si>
    <t>Tile 프리팹</t>
  </si>
  <si>
    <t>매 턴 -1 로직</t>
  </si>
  <si>
    <t>식량/목재 관리</t>
  </si>
  <si>
    <t>자원 UI</t>
  </si>
  <si>
    <t>자원 표시 패널</t>
  </si>
  <si>
    <t>중간</t>
  </si>
  <si>
    <t>농장</t>
  </si>
  <si>
    <t>농장 프리팹</t>
  </si>
  <si>
    <t>타일 숫자 기반 생산</t>
  </si>
  <si>
    <t>벌목장</t>
  </si>
  <si>
    <t>벌목장 프리팹</t>
  </si>
  <si>
    <t>고정 생산량</t>
  </si>
  <si>
    <t>항구</t>
  </si>
  <si>
    <t>항구 프리팹</t>
  </si>
  <si>
    <t>승리 조건</t>
  </si>
  <si>
    <t>배치/철거 UI</t>
  </si>
  <si>
    <t>건물 프리팹</t>
  </si>
  <si>
    <t>8단계 턴 진행</t>
  </si>
  <si>
    <t>자원/건물 시스템</t>
  </si>
  <si>
    <t>순서 고정</t>
  </si>
  <si>
    <t>식량 소비</t>
  </si>
  <si>
    <t>매 턴 소비 로직</t>
  </si>
  <si>
    <t>게임 플로우</t>
  </si>
  <si>
    <t>항구 목재 20 체크</t>
  </si>
  <si>
    <t>패배 조건</t>
  </si>
  <si>
    <t>식량 0 체크</t>
  </si>
  <si>
    <t>결과 화면</t>
  </si>
  <si>
    <t>승리/패배 UI</t>
  </si>
  <si>
    <t>승패 조건</t>
  </si>
  <si>
    <t>UI/UX</t>
  </si>
  <si>
    <t>건물 선택</t>
  </si>
  <si>
    <t>건물 패널 UI</t>
  </si>
  <si>
    <t>턴 요약</t>
  </si>
  <si>
    <t>턴 정보 표시</t>
  </si>
  <si>
    <t>낮음</t>
  </si>
  <si>
    <t>튜토리얼</t>
  </si>
  <si>
    <t>3~4단계 팝업</t>
  </si>
  <si>
    <t>전체 시스템</t>
  </si>
  <si>
    <t>초기 자원</t>
  </si>
  <si>
    <t>생산 공식</t>
  </si>
  <si>
    <t>플레이 테스트</t>
  </si>
  <si>
    <t>3~5판 테스트</t>
  </si>
  <si>
    <t>출시 준비</t>
  </si>
  <si>
    <t>빌드</t>
  </si>
  <si>
    <t>Windows 빌드</t>
  </si>
  <si>
    <t>Steam</t>
  </si>
  <si>
    <t>스토어 페이지 작성</t>
  </si>
  <si>
    <t>빌드 완료</t>
  </si>
  <si>
    <t>Week</t>
  </si>
  <si>
    <t>Days</t>
  </si>
  <si>
    <t>Focus Area</t>
  </si>
  <si>
    <t>Key Deliverables</t>
  </si>
  <si>
    <t>Completion %</t>
  </si>
  <si>
    <t>Blockers</t>
  </si>
  <si>
    <t>Week 1</t>
  </si>
  <si>
    <t>Day 1-4</t>
  </si>
  <si>
    <t>기본 시스템</t>
  </si>
  <si>
    <t>• 5×5 그리드 생성 + 타일 숫자 표시
• 타일 카운트다운 시스템
• 타일 클릭 감지
• 기본 UI 틀 구성</t>
  </si>
  <si>
    <t>Week 2</t>
  </si>
  <si>
    <t>Day 5-9</t>
  </si>
  <si>
    <t>건물 &amp; 자원</t>
  </si>
  <si>
    <t>• 건물 배치/철거 로직
• 자원 시스템 (식량, 목재)
• 건물별 생산 로직 (농장, 벌목장)
• 건물 선택 UI</t>
  </si>
  <si>
    <t>Week 1 완료 필요</t>
  </si>
  <si>
    <t>Week 3</t>
  </si>
  <si>
    <t>Day 10-16</t>
  </si>
  <si>
    <t>• 항구 시스템 (목재 투입)
• 승리/패배 조건 구현
• 턴 요약 UI
• 전체 UI 완성 + 기본 밸런싱</t>
  </si>
  <si>
    <t>Week 2 완료 필요</t>
  </si>
  <si>
    <t>Week 4</t>
  </si>
  <si>
    <t>Day 17-21</t>
  </si>
  <si>
    <t>• 밸런싱 조정 (수치 튜닝)
• 버그 수정 + 폴리싱
• 빌드 테스트 (Windows)
• Steam 페이지 작성 + 스크린샷</t>
  </si>
  <si>
    <t>Week 3 완료 필요</t>
  </si>
  <si>
    <t>완료</t>
    <phoneticPr fontId="3" type="noConversion"/>
  </si>
  <si>
    <t>그리드 로직 x</t>
    <phoneticPr fontId="3" type="noConversion"/>
  </si>
  <si>
    <t>시작 시 랜덤 할당</t>
    <phoneticPr fontId="3" type="noConversion"/>
  </si>
  <si>
    <t>개별 프리팹 및 스크립트 X</t>
    <phoneticPr fontId="3" type="noConversion"/>
  </si>
  <si>
    <t>별도 베이스 클래스 X</t>
    <phoneticPr fontId="3" type="noConversion"/>
  </si>
  <si>
    <t>건설 제한 X(소비량 증가로 플레이어가 짓지 않도록</t>
    <phoneticPr fontId="3" type="noConversion"/>
  </si>
  <si>
    <t>투입 X 턴 당 소모량 증가</t>
    <phoneticPr fontId="3" type="noConversion"/>
  </si>
  <si>
    <t>항구 5턴 유지 → 승리</t>
    <phoneticPr fontId="3" type="noConversion"/>
  </si>
  <si>
    <t>투입 진행도 표시 (0/20)</t>
    <phoneticPr fontId="3" type="noConversion"/>
  </si>
  <si>
    <t>색상 변화 -&gt; 색상 X</t>
    <phoneticPr fontId="3" type="noConversion"/>
  </si>
  <si>
    <t>언어 지원 필요</t>
    <phoneticPr fontId="3" type="noConversion"/>
  </si>
  <si>
    <t>다회 플레이 가능하게 개선 필요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</si>
</sst>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opLeftCell="A43" workbookViewId="0">
      <selection activeCell="E67" sqref="E67"/>
    </sheetView>
  </sheetViews>
  <sheetFormatPr defaultRowHeight="16.5" x14ac:dyDescent="0.3"/>
  <cols>
    <col min="1" max="1" width="6" customWidth="1"/>
    <col min="2" max="2" width="12" customWidth="1"/>
    <col min="3" max="3" width="20" customWidth="1"/>
    <col min="4" max="4" width="25" customWidth="1"/>
    <col min="5" max="5" width="35" customWidth="1"/>
    <col min="6" max="6" width="12" customWidth="1"/>
    <col min="7" max="8" width="8" customWidth="1"/>
    <col min="9" max="9" width="15" customWidth="1"/>
    <col min="10" max="10" width="30" customWidth="1"/>
    <col min="11" max="11" width="12" customWidth="1"/>
    <col min="12" max="12" width="2" customWidth="1"/>
    <col min="13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/>
    </row>
    <row r="2" spans="1:14" x14ac:dyDescent="0.3">
      <c r="A2" s="2">
        <v>1</v>
      </c>
      <c r="B2" s="2" t="s">
        <v>12</v>
      </c>
      <c r="C2" s="3" t="s">
        <v>13</v>
      </c>
      <c r="D2" s="3" t="s">
        <v>14</v>
      </c>
      <c r="E2" s="3" t="s">
        <v>15</v>
      </c>
      <c r="F2" s="2" t="s">
        <v>213</v>
      </c>
      <c r="G2" s="3">
        <v>0.5</v>
      </c>
      <c r="H2" s="3">
        <v>0</v>
      </c>
      <c r="I2" s="3"/>
      <c r="J2" s="3"/>
      <c r="M2" s="4" t="s">
        <v>17</v>
      </c>
      <c r="N2" s="5">
        <f>COUNTIF(F2:F64,"완료")</f>
        <v>57</v>
      </c>
    </row>
    <row r="3" spans="1:14" x14ac:dyDescent="0.3">
      <c r="A3" s="2">
        <v>1</v>
      </c>
      <c r="B3" s="2" t="s">
        <v>12</v>
      </c>
      <c r="C3" s="3" t="s">
        <v>13</v>
      </c>
      <c r="D3" s="3" t="s">
        <v>14</v>
      </c>
      <c r="E3" s="3" t="s">
        <v>18</v>
      </c>
      <c r="F3" s="2" t="s">
        <v>213</v>
      </c>
      <c r="G3" s="3">
        <v>0.5</v>
      </c>
      <c r="H3" s="3">
        <v>0</v>
      </c>
      <c r="I3" s="3"/>
      <c r="J3" s="3"/>
      <c r="M3" s="4" t="s">
        <v>19</v>
      </c>
      <c r="N3" s="6">
        <f>N2/63</f>
        <v>0.90476190476190477</v>
      </c>
    </row>
    <row r="4" spans="1:14" x14ac:dyDescent="0.3">
      <c r="A4" s="2">
        <v>1</v>
      </c>
      <c r="B4" s="2" t="s">
        <v>12</v>
      </c>
      <c r="C4" s="3" t="s">
        <v>13</v>
      </c>
      <c r="D4" s="3" t="s">
        <v>14</v>
      </c>
      <c r="E4" s="3" t="s">
        <v>20</v>
      </c>
      <c r="F4" s="2" t="s">
        <v>213</v>
      </c>
      <c r="G4" s="3">
        <v>0.5</v>
      </c>
      <c r="H4" s="3">
        <v>0</v>
      </c>
      <c r="I4" s="3"/>
      <c r="J4" s="3"/>
      <c r="M4" s="4" t="s">
        <v>21</v>
      </c>
      <c r="N4" s="5">
        <f>COUNTIF(F2:F64,"진행중")</f>
        <v>0</v>
      </c>
    </row>
    <row r="5" spans="1:14" x14ac:dyDescent="0.3">
      <c r="A5" s="2">
        <v>1</v>
      </c>
      <c r="B5" s="2" t="s">
        <v>12</v>
      </c>
      <c r="C5" s="3" t="s">
        <v>22</v>
      </c>
      <c r="D5" s="3" t="s">
        <v>23</v>
      </c>
      <c r="E5" s="3" t="s">
        <v>24</v>
      </c>
      <c r="F5" s="2" t="s">
        <v>213</v>
      </c>
      <c r="G5" s="3">
        <v>1</v>
      </c>
      <c r="H5" s="3">
        <v>0</v>
      </c>
      <c r="I5" s="3"/>
      <c r="J5" s="3"/>
      <c r="M5" s="4" t="s">
        <v>16</v>
      </c>
      <c r="N5" s="5">
        <f>COUNTIF(F2:F64,"대기")</f>
        <v>6</v>
      </c>
    </row>
    <row r="6" spans="1:14" x14ac:dyDescent="0.3">
      <c r="A6" s="2">
        <v>1</v>
      </c>
      <c r="B6" s="2" t="s">
        <v>12</v>
      </c>
      <c r="C6" s="3" t="s">
        <v>22</v>
      </c>
      <c r="D6" s="3" t="s">
        <v>23</v>
      </c>
      <c r="E6" s="3" t="s">
        <v>25</v>
      </c>
      <c r="F6" s="2" t="s">
        <v>213</v>
      </c>
      <c r="G6" s="3">
        <v>1.5</v>
      </c>
      <c r="H6" s="3">
        <v>0</v>
      </c>
      <c r="I6" s="3"/>
      <c r="J6" s="3"/>
      <c r="M6" s="4" t="s">
        <v>26</v>
      </c>
      <c r="N6" s="5" t="s">
        <v>27</v>
      </c>
    </row>
    <row r="7" spans="1:14" x14ac:dyDescent="0.3">
      <c r="A7" s="2">
        <v>1</v>
      </c>
      <c r="B7" s="2" t="s">
        <v>12</v>
      </c>
      <c r="C7" s="3" t="s">
        <v>22</v>
      </c>
      <c r="D7" s="3" t="s">
        <v>23</v>
      </c>
      <c r="E7" s="3" t="s">
        <v>28</v>
      </c>
      <c r="F7" s="2" t="s">
        <v>213</v>
      </c>
      <c r="G7" s="3">
        <v>2</v>
      </c>
      <c r="H7" s="3">
        <v>0</v>
      </c>
      <c r="I7" s="3"/>
      <c r="J7" s="3" t="s">
        <v>214</v>
      </c>
      <c r="M7" s="4" t="s">
        <v>29</v>
      </c>
      <c r="N7" s="5" t="s">
        <v>30</v>
      </c>
    </row>
    <row r="8" spans="1:14" x14ac:dyDescent="0.3">
      <c r="A8" s="2">
        <v>2</v>
      </c>
      <c r="B8" s="2" t="s">
        <v>31</v>
      </c>
      <c r="C8" s="3" t="s">
        <v>22</v>
      </c>
      <c r="D8" s="3" t="s">
        <v>23</v>
      </c>
      <c r="E8" s="3" t="s">
        <v>32</v>
      </c>
      <c r="F8" s="2" t="s">
        <v>213</v>
      </c>
      <c r="G8" s="3">
        <v>1</v>
      </c>
      <c r="H8" s="3">
        <v>0</v>
      </c>
      <c r="I8" s="3"/>
      <c r="J8" s="3"/>
    </row>
    <row r="9" spans="1:14" x14ac:dyDescent="0.3">
      <c r="A9" s="2">
        <v>2</v>
      </c>
      <c r="B9" s="2" t="s">
        <v>31</v>
      </c>
      <c r="C9" s="3" t="s">
        <v>33</v>
      </c>
      <c r="D9" s="3" t="s">
        <v>34</v>
      </c>
      <c r="E9" s="3" t="s">
        <v>35</v>
      </c>
      <c r="F9" s="2" t="s">
        <v>213</v>
      </c>
      <c r="G9" s="3">
        <v>1</v>
      </c>
      <c r="H9" s="3">
        <v>0</v>
      </c>
      <c r="I9" s="3"/>
      <c r="J9" s="3" t="s">
        <v>215</v>
      </c>
    </row>
    <row r="10" spans="1:14" x14ac:dyDescent="0.3">
      <c r="A10" s="2">
        <v>2</v>
      </c>
      <c r="B10" s="2" t="s">
        <v>31</v>
      </c>
      <c r="C10" s="3" t="s">
        <v>33</v>
      </c>
      <c r="D10" s="3" t="s">
        <v>34</v>
      </c>
      <c r="E10" s="3" t="s">
        <v>36</v>
      </c>
      <c r="F10" s="2" t="s">
        <v>213</v>
      </c>
      <c r="G10" s="3">
        <v>1.5</v>
      </c>
      <c r="H10" s="3">
        <v>0</v>
      </c>
      <c r="I10" s="3"/>
      <c r="J10" s="3"/>
    </row>
    <row r="11" spans="1:14" x14ac:dyDescent="0.3">
      <c r="A11" s="2">
        <v>2</v>
      </c>
      <c r="B11" s="2" t="s">
        <v>31</v>
      </c>
      <c r="C11" s="3" t="s">
        <v>33</v>
      </c>
      <c r="D11" s="3" t="s">
        <v>34</v>
      </c>
      <c r="E11" s="3" t="s">
        <v>37</v>
      </c>
      <c r="F11" s="2" t="s">
        <v>213</v>
      </c>
      <c r="G11" s="3">
        <v>1.5</v>
      </c>
      <c r="H11" s="3">
        <v>0</v>
      </c>
      <c r="I11" s="3"/>
      <c r="J11" s="3"/>
    </row>
    <row r="12" spans="1:14" x14ac:dyDescent="0.3">
      <c r="A12" s="2">
        <v>2</v>
      </c>
      <c r="B12" s="2" t="s">
        <v>31</v>
      </c>
      <c r="C12" s="3" t="s">
        <v>33</v>
      </c>
      <c r="D12" s="3" t="s">
        <v>34</v>
      </c>
      <c r="E12" s="3" t="s">
        <v>38</v>
      </c>
      <c r="F12" s="2" t="s">
        <v>213</v>
      </c>
      <c r="G12" s="3">
        <v>1</v>
      </c>
      <c r="H12" s="3">
        <v>0</v>
      </c>
      <c r="I12" s="3"/>
      <c r="J12" s="3"/>
    </row>
    <row r="13" spans="1:14" x14ac:dyDescent="0.3">
      <c r="A13" s="2">
        <v>3</v>
      </c>
      <c r="B13" s="2" t="s">
        <v>39</v>
      </c>
      <c r="C13" s="3" t="s">
        <v>40</v>
      </c>
      <c r="D13" s="3" t="s">
        <v>41</v>
      </c>
      <c r="E13" s="3" t="s">
        <v>42</v>
      </c>
      <c r="F13" s="2" t="s">
        <v>213</v>
      </c>
      <c r="G13" s="3">
        <v>1</v>
      </c>
      <c r="H13" s="3">
        <v>0</v>
      </c>
      <c r="I13" s="3"/>
      <c r="J13" s="3"/>
    </row>
    <row r="14" spans="1:14" x14ac:dyDescent="0.3">
      <c r="A14" s="2">
        <v>3</v>
      </c>
      <c r="B14" s="2" t="s">
        <v>39</v>
      </c>
      <c r="C14" s="3" t="s">
        <v>40</v>
      </c>
      <c r="D14" s="3" t="s">
        <v>41</v>
      </c>
      <c r="E14" s="3" t="s">
        <v>43</v>
      </c>
      <c r="F14" s="2" t="s">
        <v>213</v>
      </c>
      <c r="G14" s="3">
        <v>1.5</v>
      </c>
      <c r="H14" s="3">
        <v>0</v>
      </c>
      <c r="I14" s="3"/>
      <c r="J14" s="3"/>
    </row>
    <row r="15" spans="1:14" x14ac:dyDescent="0.3">
      <c r="A15" s="2">
        <v>3</v>
      </c>
      <c r="B15" s="2" t="s">
        <v>39</v>
      </c>
      <c r="C15" s="3" t="s">
        <v>40</v>
      </c>
      <c r="D15" s="3" t="s">
        <v>41</v>
      </c>
      <c r="E15" s="3" t="s">
        <v>44</v>
      </c>
      <c r="F15" s="2" t="s">
        <v>213</v>
      </c>
      <c r="G15" s="3">
        <v>0.5</v>
      </c>
      <c r="H15" s="3">
        <v>0</v>
      </c>
      <c r="I15" s="3"/>
      <c r="J15" s="3"/>
    </row>
    <row r="16" spans="1:14" x14ac:dyDescent="0.3">
      <c r="A16" s="2">
        <v>3</v>
      </c>
      <c r="B16" s="2" t="s">
        <v>39</v>
      </c>
      <c r="C16" s="3" t="s">
        <v>40</v>
      </c>
      <c r="D16" s="3" t="s">
        <v>41</v>
      </c>
      <c r="E16" s="3" t="s">
        <v>45</v>
      </c>
      <c r="F16" s="2" t="s">
        <v>213</v>
      </c>
      <c r="G16" s="3">
        <v>1.5</v>
      </c>
      <c r="H16" s="3">
        <v>0</v>
      </c>
      <c r="I16" s="3"/>
      <c r="J16" s="3"/>
    </row>
    <row r="17" spans="1:10" x14ac:dyDescent="0.3">
      <c r="A17" s="2">
        <v>3</v>
      </c>
      <c r="B17" s="2" t="s">
        <v>39</v>
      </c>
      <c r="C17" s="3" t="s">
        <v>46</v>
      </c>
      <c r="D17" s="3" t="s">
        <v>47</v>
      </c>
      <c r="E17" s="3" t="s">
        <v>48</v>
      </c>
      <c r="F17" s="2" t="s">
        <v>213</v>
      </c>
      <c r="G17" s="3">
        <v>1</v>
      </c>
      <c r="H17" s="3">
        <v>0</v>
      </c>
      <c r="I17" s="3"/>
      <c r="J17" s="3"/>
    </row>
    <row r="18" spans="1:10" x14ac:dyDescent="0.3">
      <c r="A18" s="2">
        <v>3</v>
      </c>
      <c r="B18" s="2" t="s">
        <v>39</v>
      </c>
      <c r="C18" s="3" t="s">
        <v>46</v>
      </c>
      <c r="D18" s="3" t="s">
        <v>47</v>
      </c>
      <c r="E18" s="3" t="s">
        <v>49</v>
      </c>
      <c r="F18" s="2" t="s">
        <v>213</v>
      </c>
      <c r="G18" s="3">
        <v>0.5</v>
      </c>
      <c r="H18" s="3">
        <v>0</v>
      </c>
      <c r="I18" s="3"/>
      <c r="J18" s="3"/>
    </row>
    <row r="19" spans="1:10" x14ac:dyDescent="0.3">
      <c r="A19" s="2">
        <v>4</v>
      </c>
      <c r="B19" s="2" t="s">
        <v>50</v>
      </c>
      <c r="C19" s="3" t="s">
        <v>46</v>
      </c>
      <c r="D19" s="3" t="s">
        <v>47</v>
      </c>
      <c r="E19" s="3" t="s">
        <v>51</v>
      </c>
      <c r="F19" s="2" t="s">
        <v>213</v>
      </c>
      <c r="G19" s="3">
        <v>1</v>
      </c>
      <c r="H19" s="3">
        <v>0</v>
      </c>
      <c r="I19" s="3"/>
      <c r="J19" s="3"/>
    </row>
    <row r="20" spans="1:10" x14ac:dyDescent="0.3">
      <c r="A20" s="2">
        <v>4</v>
      </c>
      <c r="B20" s="2" t="s">
        <v>50</v>
      </c>
      <c r="C20" s="3" t="s">
        <v>46</v>
      </c>
      <c r="D20" s="3" t="s">
        <v>47</v>
      </c>
      <c r="E20" s="3" t="s">
        <v>52</v>
      </c>
      <c r="F20" s="2" t="s">
        <v>213</v>
      </c>
      <c r="G20" s="3">
        <v>1</v>
      </c>
      <c r="H20" s="3">
        <v>0</v>
      </c>
      <c r="I20" s="3"/>
      <c r="J20" s="3"/>
    </row>
    <row r="21" spans="1:10" x14ac:dyDescent="0.3">
      <c r="A21" s="2">
        <v>4</v>
      </c>
      <c r="B21" s="2" t="s">
        <v>50</v>
      </c>
      <c r="C21" s="3" t="s">
        <v>53</v>
      </c>
      <c r="D21" s="3" t="s">
        <v>54</v>
      </c>
      <c r="E21" s="3" t="s">
        <v>55</v>
      </c>
      <c r="F21" s="2" t="s">
        <v>213</v>
      </c>
      <c r="G21" s="3">
        <v>1.5</v>
      </c>
      <c r="H21" s="3">
        <v>0</v>
      </c>
      <c r="I21" s="3"/>
      <c r="J21" s="3" t="s">
        <v>217</v>
      </c>
    </row>
    <row r="22" spans="1:10" x14ac:dyDescent="0.3">
      <c r="A22" s="2">
        <v>4</v>
      </c>
      <c r="B22" s="2" t="s">
        <v>50</v>
      </c>
      <c r="C22" s="3" t="s">
        <v>53</v>
      </c>
      <c r="D22" s="3" t="s">
        <v>54</v>
      </c>
      <c r="E22" s="3" t="s">
        <v>56</v>
      </c>
      <c r="F22" s="2" t="s">
        <v>213</v>
      </c>
      <c r="G22" s="3">
        <v>2</v>
      </c>
      <c r="H22" s="3">
        <v>0</v>
      </c>
      <c r="I22" s="3"/>
      <c r="J22" s="3" t="s">
        <v>216</v>
      </c>
    </row>
    <row r="23" spans="1:10" x14ac:dyDescent="0.3">
      <c r="A23" s="2">
        <v>5</v>
      </c>
      <c r="B23" s="2" t="s">
        <v>57</v>
      </c>
      <c r="C23" s="3" t="s">
        <v>53</v>
      </c>
      <c r="D23" s="3" t="s">
        <v>54</v>
      </c>
      <c r="E23" s="3" t="s">
        <v>58</v>
      </c>
      <c r="F23" s="2" t="s">
        <v>213</v>
      </c>
      <c r="G23" s="3">
        <v>2</v>
      </c>
      <c r="H23" s="3">
        <v>0</v>
      </c>
      <c r="I23" s="3"/>
      <c r="J23" s="3" t="s">
        <v>216</v>
      </c>
    </row>
    <row r="24" spans="1:10" x14ac:dyDescent="0.3">
      <c r="A24" s="2">
        <v>5</v>
      </c>
      <c r="B24" s="2" t="s">
        <v>57</v>
      </c>
      <c r="C24" s="3" t="s">
        <v>53</v>
      </c>
      <c r="D24" s="3" t="s">
        <v>54</v>
      </c>
      <c r="E24" s="3" t="s">
        <v>59</v>
      </c>
      <c r="F24" s="2" t="s">
        <v>213</v>
      </c>
      <c r="G24" s="3">
        <v>2</v>
      </c>
      <c r="H24" s="3">
        <v>0</v>
      </c>
      <c r="I24" s="3"/>
      <c r="J24" s="3"/>
    </row>
    <row r="25" spans="1:10" x14ac:dyDescent="0.3">
      <c r="A25" s="2">
        <v>5</v>
      </c>
      <c r="B25" s="2" t="s">
        <v>57</v>
      </c>
      <c r="C25" s="3" t="s">
        <v>60</v>
      </c>
      <c r="D25" s="3" t="s">
        <v>61</v>
      </c>
      <c r="E25" s="3" t="s">
        <v>62</v>
      </c>
      <c r="F25" s="2" t="s">
        <v>213</v>
      </c>
      <c r="G25" s="3">
        <v>2</v>
      </c>
      <c r="H25" s="3">
        <v>0</v>
      </c>
      <c r="I25" s="3"/>
      <c r="J25" s="3"/>
    </row>
    <row r="26" spans="1:10" x14ac:dyDescent="0.3">
      <c r="A26" s="2">
        <v>6</v>
      </c>
      <c r="B26" s="2" t="s">
        <v>63</v>
      </c>
      <c r="C26" s="3" t="s">
        <v>60</v>
      </c>
      <c r="D26" s="3" t="s">
        <v>61</v>
      </c>
      <c r="E26" s="3" t="s">
        <v>64</v>
      </c>
      <c r="F26" s="2" t="s">
        <v>213</v>
      </c>
      <c r="G26" s="3">
        <v>2.5</v>
      </c>
      <c r="H26" s="3">
        <v>0</v>
      </c>
      <c r="I26" s="3"/>
      <c r="J26" s="3"/>
    </row>
    <row r="27" spans="1:10" x14ac:dyDescent="0.3">
      <c r="A27" s="2">
        <v>6</v>
      </c>
      <c r="B27" s="2" t="s">
        <v>63</v>
      </c>
      <c r="C27" s="3" t="s">
        <v>60</v>
      </c>
      <c r="D27" s="3" t="s">
        <v>61</v>
      </c>
      <c r="E27" s="3" t="s">
        <v>65</v>
      </c>
      <c r="F27" s="2" t="s">
        <v>213</v>
      </c>
      <c r="G27" s="3">
        <v>1</v>
      </c>
      <c r="H27" s="3">
        <v>0</v>
      </c>
      <c r="I27" s="3"/>
      <c r="J27" s="3"/>
    </row>
    <row r="28" spans="1:10" x14ac:dyDescent="0.3">
      <c r="A28" s="2">
        <v>6</v>
      </c>
      <c r="B28" s="2" t="s">
        <v>63</v>
      </c>
      <c r="C28" s="3" t="s">
        <v>60</v>
      </c>
      <c r="D28" s="3" t="s">
        <v>61</v>
      </c>
      <c r="E28" s="3" t="s">
        <v>66</v>
      </c>
      <c r="F28" s="2" t="s">
        <v>213</v>
      </c>
      <c r="G28" s="3">
        <v>1.5</v>
      </c>
      <c r="H28" s="3">
        <v>0</v>
      </c>
      <c r="I28" s="3"/>
      <c r="J28" s="3"/>
    </row>
    <row r="29" spans="1:10" x14ac:dyDescent="0.3">
      <c r="A29" s="2">
        <v>7</v>
      </c>
      <c r="B29" s="2" t="s">
        <v>67</v>
      </c>
      <c r="C29" s="3" t="s">
        <v>68</v>
      </c>
      <c r="D29" s="3" t="s">
        <v>69</v>
      </c>
      <c r="E29" s="3" t="s">
        <v>70</v>
      </c>
      <c r="F29" s="2" t="s">
        <v>213</v>
      </c>
      <c r="G29" s="3">
        <v>2</v>
      </c>
      <c r="H29" s="3">
        <v>0</v>
      </c>
      <c r="I29" s="3"/>
      <c r="J29" s="3"/>
    </row>
    <row r="30" spans="1:10" x14ac:dyDescent="0.3">
      <c r="A30" s="2">
        <v>7</v>
      </c>
      <c r="B30" s="2" t="s">
        <v>67</v>
      </c>
      <c r="C30" s="3" t="s">
        <v>68</v>
      </c>
      <c r="D30" s="3" t="s">
        <v>69</v>
      </c>
      <c r="E30" s="3" t="s">
        <v>71</v>
      </c>
      <c r="F30" s="2" t="s">
        <v>213</v>
      </c>
      <c r="G30" s="3">
        <v>1</v>
      </c>
      <c r="H30" s="3">
        <v>0</v>
      </c>
      <c r="I30" s="3"/>
      <c r="J30" s="3"/>
    </row>
    <row r="31" spans="1:10" x14ac:dyDescent="0.3">
      <c r="A31" s="2">
        <v>7</v>
      </c>
      <c r="B31" s="2" t="s">
        <v>67</v>
      </c>
      <c r="C31" s="3" t="s">
        <v>68</v>
      </c>
      <c r="D31" s="3" t="s">
        <v>69</v>
      </c>
      <c r="E31" s="3" t="s">
        <v>72</v>
      </c>
      <c r="F31" s="2" t="s">
        <v>213</v>
      </c>
      <c r="G31" s="3">
        <v>1.5</v>
      </c>
      <c r="H31" s="3">
        <v>0</v>
      </c>
      <c r="I31" s="3"/>
      <c r="J31" s="3"/>
    </row>
    <row r="32" spans="1:10" x14ac:dyDescent="0.3">
      <c r="A32" s="2">
        <v>7</v>
      </c>
      <c r="B32" s="2" t="s">
        <v>67</v>
      </c>
      <c r="C32" s="3" t="s">
        <v>73</v>
      </c>
      <c r="D32" s="3" t="s">
        <v>74</v>
      </c>
      <c r="E32" s="3" t="s">
        <v>75</v>
      </c>
      <c r="F32" s="2" t="s">
        <v>213</v>
      </c>
      <c r="G32" s="3">
        <v>1.5</v>
      </c>
      <c r="H32" s="3">
        <v>0</v>
      </c>
      <c r="I32" s="3"/>
      <c r="J32" s="3"/>
    </row>
    <row r="33" spans="1:10" x14ac:dyDescent="0.3">
      <c r="A33" s="2">
        <v>8</v>
      </c>
      <c r="B33" s="2" t="s">
        <v>76</v>
      </c>
      <c r="C33" s="3" t="s">
        <v>73</v>
      </c>
      <c r="D33" s="3" t="s">
        <v>74</v>
      </c>
      <c r="E33" s="3" t="s">
        <v>77</v>
      </c>
      <c r="F33" s="2" t="s">
        <v>213</v>
      </c>
      <c r="G33" s="3">
        <v>3</v>
      </c>
      <c r="H33" s="3">
        <v>0</v>
      </c>
      <c r="I33" s="3"/>
      <c r="J33" s="3"/>
    </row>
    <row r="34" spans="1:10" x14ac:dyDescent="0.3">
      <c r="A34" s="2">
        <v>8</v>
      </c>
      <c r="B34" s="2" t="s">
        <v>76</v>
      </c>
      <c r="C34" s="3" t="s">
        <v>73</v>
      </c>
      <c r="D34" s="3" t="s">
        <v>74</v>
      </c>
      <c r="E34" s="3" t="s">
        <v>78</v>
      </c>
      <c r="F34" s="2" t="s">
        <v>213</v>
      </c>
      <c r="G34" s="3">
        <v>1.5</v>
      </c>
      <c r="H34" s="3">
        <v>0</v>
      </c>
      <c r="I34" s="3"/>
      <c r="J34" s="3"/>
    </row>
    <row r="35" spans="1:10" x14ac:dyDescent="0.3">
      <c r="A35" s="2">
        <v>8</v>
      </c>
      <c r="B35" s="2" t="s">
        <v>76</v>
      </c>
      <c r="C35" s="3" t="s">
        <v>73</v>
      </c>
      <c r="D35" s="3" t="s">
        <v>74</v>
      </c>
      <c r="E35" s="3" t="s">
        <v>79</v>
      </c>
      <c r="F35" s="2" t="s">
        <v>213</v>
      </c>
      <c r="G35" s="3">
        <v>1</v>
      </c>
      <c r="H35" s="3">
        <v>0</v>
      </c>
      <c r="I35" s="3"/>
      <c r="J35" s="3"/>
    </row>
    <row r="36" spans="1:10" x14ac:dyDescent="0.3">
      <c r="A36" s="2">
        <v>9</v>
      </c>
      <c r="B36" s="2" t="s">
        <v>80</v>
      </c>
      <c r="C36" s="3" t="s">
        <v>81</v>
      </c>
      <c r="D36" s="3" t="s">
        <v>82</v>
      </c>
      <c r="E36" s="3" t="s">
        <v>83</v>
      </c>
      <c r="F36" s="2" t="s">
        <v>213</v>
      </c>
      <c r="G36" s="3">
        <v>1</v>
      </c>
      <c r="H36" s="3">
        <v>0</v>
      </c>
      <c r="I36" s="3"/>
      <c r="J36" s="3" t="s">
        <v>218</v>
      </c>
    </row>
    <row r="37" spans="1:10" x14ac:dyDescent="0.3">
      <c r="A37" s="2">
        <v>9</v>
      </c>
      <c r="B37" s="2" t="s">
        <v>80</v>
      </c>
      <c r="C37" s="3" t="s">
        <v>81</v>
      </c>
      <c r="D37" s="3" t="s">
        <v>82</v>
      </c>
      <c r="E37" s="3" t="s">
        <v>84</v>
      </c>
      <c r="F37" s="2" t="s">
        <v>213</v>
      </c>
      <c r="G37" s="3">
        <v>2</v>
      </c>
      <c r="H37" s="3">
        <v>0</v>
      </c>
      <c r="I37" s="3"/>
      <c r="J37" s="3" t="s">
        <v>219</v>
      </c>
    </row>
    <row r="38" spans="1:10" x14ac:dyDescent="0.3">
      <c r="A38" s="2">
        <v>9</v>
      </c>
      <c r="B38" s="2" t="s">
        <v>80</v>
      </c>
      <c r="C38" s="3" t="s">
        <v>81</v>
      </c>
      <c r="D38" s="3" t="s">
        <v>82</v>
      </c>
      <c r="E38" s="3" t="s">
        <v>221</v>
      </c>
      <c r="F38" s="2" t="s">
        <v>213</v>
      </c>
      <c r="G38" s="3">
        <v>1.5</v>
      </c>
      <c r="H38" s="3">
        <v>0</v>
      </c>
      <c r="I38" s="3"/>
      <c r="J38" s="3" t="s">
        <v>219</v>
      </c>
    </row>
    <row r="39" spans="1:10" x14ac:dyDescent="0.3">
      <c r="A39" s="2">
        <v>9</v>
      </c>
      <c r="B39" s="2" t="s">
        <v>80</v>
      </c>
      <c r="C39" s="3" t="s">
        <v>81</v>
      </c>
      <c r="D39" s="3" t="s">
        <v>82</v>
      </c>
      <c r="E39" s="3" t="s">
        <v>85</v>
      </c>
      <c r="F39" s="2" t="s">
        <v>213</v>
      </c>
      <c r="G39" s="3">
        <v>1</v>
      </c>
      <c r="H39" s="3">
        <v>0</v>
      </c>
      <c r="I39" s="3"/>
      <c r="J39" s="3" t="s">
        <v>219</v>
      </c>
    </row>
    <row r="40" spans="1:10" x14ac:dyDescent="0.3">
      <c r="A40" s="2">
        <v>10</v>
      </c>
      <c r="B40" s="2" t="s">
        <v>86</v>
      </c>
      <c r="C40" s="3" t="s">
        <v>87</v>
      </c>
      <c r="D40" s="3" t="s">
        <v>88</v>
      </c>
      <c r="E40" s="3" t="s">
        <v>89</v>
      </c>
      <c r="F40" s="2" t="s">
        <v>213</v>
      </c>
      <c r="G40" s="3">
        <v>1.5</v>
      </c>
      <c r="H40" s="3">
        <v>0</v>
      </c>
      <c r="I40" s="3"/>
      <c r="J40" s="3"/>
    </row>
    <row r="41" spans="1:10" x14ac:dyDescent="0.3">
      <c r="A41" s="2">
        <v>10</v>
      </c>
      <c r="B41" s="2" t="s">
        <v>86</v>
      </c>
      <c r="C41" s="3" t="s">
        <v>87</v>
      </c>
      <c r="D41" s="3" t="s">
        <v>88</v>
      </c>
      <c r="E41" s="3" t="s">
        <v>220</v>
      </c>
      <c r="F41" s="2" t="s">
        <v>213</v>
      </c>
      <c r="G41" s="3">
        <v>1.5</v>
      </c>
      <c r="H41" s="3">
        <v>0</v>
      </c>
      <c r="I41" s="3"/>
      <c r="J41" s="3"/>
    </row>
    <row r="42" spans="1:10" x14ac:dyDescent="0.3">
      <c r="A42" s="2">
        <v>10</v>
      </c>
      <c r="B42" s="2" t="s">
        <v>86</v>
      </c>
      <c r="C42" s="3" t="s">
        <v>87</v>
      </c>
      <c r="D42" s="3" t="s">
        <v>88</v>
      </c>
      <c r="E42" s="3" t="s">
        <v>90</v>
      </c>
      <c r="F42" s="2" t="s">
        <v>213</v>
      </c>
      <c r="G42" s="3">
        <v>2</v>
      </c>
      <c r="H42" s="3">
        <v>0</v>
      </c>
      <c r="I42" s="3"/>
      <c r="J42" s="3"/>
    </row>
    <row r="43" spans="1:10" x14ac:dyDescent="0.3">
      <c r="A43" s="2">
        <v>10</v>
      </c>
      <c r="B43" s="2" t="s">
        <v>86</v>
      </c>
      <c r="C43" s="3" t="s">
        <v>87</v>
      </c>
      <c r="D43" s="3" t="s">
        <v>88</v>
      </c>
      <c r="E43" s="3" t="s">
        <v>91</v>
      </c>
      <c r="F43" s="2" t="s">
        <v>213</v>
      </c>
      <c r="G43" s="3">
        <v>1</v>
      </c>
      <c r="H43" s="3">
        <v>0</v>
      </c>
      <c r="I43" s="3"/>
      <c r="J43" s="3"/>
    </row>
    <row r="44" spans="1:10" x14ac:dyDescent="0.3">
      <c r="A44" s="2">
        <v>11</v>
      </c>
      <c r="B44" s="2" t="s">
        <v>92</v>
      </c>
      <c r="C44" s="3" t="s">
        <v>93</v>
      </c>
      <c r="D44" s="3" t="s">
        <v>94</v>
      </c>
      <c r="E44" s="3" t="s">
        <v>95</v>
      </c>
      <c r="F44" s="2" t="s">
        <v>213</v>
      </c>
      <c r="G44" s="3">
        <v>2</v>
      </c>
      <c r="H44" s="3">
        <v>0</v>
      </c>
      <c r="I44" s="3"/>
      <c r="J44" s="3"/>
    </row>
    <row r="45" spans="1:10" x14ac:dyDescent="0.3">
      <c r="A45" s="2">
        <v>11</v>
      </c>
      <c r="B45" s="2" t="s">
        <v>92</v>
      </c>
      <c r="C45" s="3" t="s">
        <v>93</v>
      </c>
      <c r="D45" s="3" t="s">
        <v>94</v>
      </c>
      <c r="E45" s="3" t="s">
        <v>96</v>
      </c>
      <c r="F45" s="2" t="s">
        <v>213</v>
      </c>
      <c r="G45" s="3">
        <v>2</v>
      </c>
      <c r="H45" s="3">
        <v>0</v>
      </c>
      <c r="I45" s="3"/>
      <c r="J45" s="3"/>
    </row>
    <row r="46" spans="1:10" x14ac:dyDescent="0.3">
      <c r="A46" s="2">
        <v>11</v>
      </c>
      <c r="B46" s="2" t="s">
        <v>92</v>
      </c>
      <c r="C46" s="3" t="s">
        <v>93</v>
      </c>
      <c r="D46" s="3" t="s">
        <v>94</v>
      </c>
      <c r="E46" s="3" t="s">
        <v>97</v>
      </c>
      <c r="F46" s="2" t="s">
        <v>213</v>
      </c>
      <c r="G46" s="3">
        <v>1.5</v>
      </c>
      <c r="H46" s="3">
        <v>0</v>
      </c>
      <c r="I46" s="3"/>
      <c r="J46" s="3" t="s">
        <v>222</v>
      </c>
    </row>
    <row r="47" spans="1:10" x14ac:dyDescent="0.3">
      <c r="A47" s="2">
        <v>12</v>
      </c>
      <c r="B47" s="2" t="s">
        <v>98</v>
      </c>
      <c r="C47" s="3" t="s">
        <v>93</v>
      </c>
      <c r="D47" s="3" t="s">
        <v>94</v>
      </c>
      <c r="E47" s="3" t="s">
        <v>99</v>
      </c>
      <c r="F47" s="2" t="s">
        <v>213</v>
      </c>
      <c r="G47" s="3">
        <v>3</v>
      </c>
      <c r="H47" s="3">
        <v>0</v>
      </c>
      <c r="I47" s="3" t="s">
        <v>223</v>
      </c>
      <c r="J47" s="3"/>
    </row>
    <row r="48" spans="1:10" x14ac:dyDescent="0.3">
      <c r="A48" s="2">
        <v>12</v>
      </c>
      <c r="B48" s="2" t="s">
        <v>98</v>
      </c>
      <c r="C48" s="3" t="s">
        <v>100</v>
      </c>
      <c r="D48" s="3" t="s">
        <v>101</v>
      </c>
      <c r="E48" s="3" t="s">
        <v>102</v>
      </c>
      <c r="F48" s="2" t="s">
        <v>213</v>
      </c>
      <c r="G48" s="3">
        <v>0.5</v>
      </c>
      <c r="H48" s="3">
        <v>0</v>
      </c>
      <c r="I48" s="3"/>
      <c r="J48" s="3"/>
    </row>
    <row r="49" spans="1:10" x14ac:dyDescent="0.3">
      <c r="A49" s="2">
        <v>12</v>
      </c>
      <c r="B49" s="2" t="s">
        <v>98</v>
      </c>
      <c r="C49" s="3" t="s">
        <v>100</v>
      </c>
      <c r="D49" s="3" t="s">
        <v>101</v>
      </c>
      <c r="E49" s="3" t="s">
        <v>103</v>
      </c>
      <c r="F49" s="2" t="s">
        <v>213</v>
      </c>
      <c r="G49" s="3">
        <v>2</v>
      </c>
      <c r="H49" s="3">
        <v>0</v>
      </c>
      <c r="I49" s="3"/>
      <c r="J49" s="3"/>
    </row>
    <row r="50" spans="1:10" x14ac:dyDescent="0.3">
      <c r="A50" s="2">
        <v>13</v>
      </c>
      <c r="B50" s="2" t="s">
        <v>104</v>
      </c>
      <c r="C50" s="3" t="s">
        <v>100</v>
      </c>
      <c r="D50" s="3" t="s">
        <v>101</v>
      </c>
      <c r="E50" s="3" t="s">
        <v>105</v>
      </c>
      <c r="F50" s="2" t="s">
        <v>213</v>
      </c>
      <c r="G50" s="3">
        <v>1</v>
      </c>
      <c r="H50" s="3">
        <v>0</v>
      </c>
      <c r="I50" s="3"/>
      <c r="J50" s="3"/>
    </row>
    <row r="51" spans="1:10" x14ac:dyDescent="0.3">
      <c r="A51" s="2">
        <v>13</v>
      </c>
      <c r="B51" s="2" t="s">
        <v>104</v>
      </c>
      <c r="C51" s="3" t="s">
        <v>100</v>
      </c>
      <c r="D51" s="3" t="s">
        <v>101</v>
      </c>
      <c r="E51" s="3" t="s">
        <v>106</v>
      </c>
      <c r="F51" s="2" t="s">
        <v>213</v>
      </c>
      <c r="G51" s="3">
        <v>3</v>
      </c>
      <c r="H51" s="3">
        <v>0</v>
      </c>
      <c r="I51" s="3"/>
      <c r="J51" s="3" t="s">
        <v>224</v>
      </c>
    </row>
    <row r="52" spans="1:10" x14ac:dyDescent="0.3">
      <c r="A52" s="2">
        <v>14</v>
      </c>
      <c r="B52" s="2" t="s">
        <v>107</v>
      </c>
      <c r="C52" s="3" t="s">
        <v>108</v>
      </c>
      <c r="D52" s="3" t="s">
        <v>109</v>
      </c>
      <c r="E52" s="3" t="s">
        <v>110</v>
      </c>
      <c r="F52" s="2" t="s">
        <v>213</v>
      </c>
      <c r="G52" s="3">
        <v>4</v>
      </c>
      <c r="H52" s="3">
        <v>0</v>
      </c>
      <c r="I52" s="3"/>
      <c r="J52" s="3"/>
    </row>
    <row r="53" spans="1:10" x14ac:dyDescent="0.3">
      <c r="A53" s="2">
        <v>15</v>
      </c>
      <c r="B53" s="2" t="s">
        <v>111</v>
      </c>
      <c r="C53" s="3" t="s">
        <v>108</v>
      </c>
      <c r="D53" s="3" t="s">
        <v>109</v>
      </c>
      <c r="E53" s="3" t="s">
        <v>112</v>
      </c>
      <c r="F53" s="2" t="s">
        <v>213</v>
      </c>
      <c r="G53" s="3">
        <v>4</v>
      </c>
      <c r="H53" s="3">
        <v>0</v>
      </c>
      <c r="I53" s="3"/>
      <c r="J53" s="3"/>
    </row>
    <row r="54" spans="1:10" x14ac:dyDescent="0.3">
      <c r="A54" s="2">
        <v>15</v>
      </c>
      <c r="B54" s="2" t="s">
        <v>111</v>
      </c>
      <c r="C54" s="3" t="s">
        <v>108</v>
      </c>
      <c r="D54" s="3" t="s">
        <v>109</v>
      </c>
      <c r="E54" s="3" t="s">
        <v>113</v>
      </c>
      <c r="F54" s="2" t="s">
        <v>213</v>
      </c>
      <c r="G54" s="3">
        <v>2</v>
      </c>
      <c r="H54" s="3">
        <v>0</v>
      </c>
      <c r="I54" s="3"/>
      <c r="J54" s="3"/>
    </row>
    <row r="55" spans="1:10" x14ac:dyDescent="0.3">
      <c r="A55" s="2">
        <v>16</v>
      </c>
      <c r="B55" s="2" t="s">
        <v>114</v>
      </c>
      <c r="C55" s="3" t="s">
        <v>108</v>
      </c>
      <c r="D55" s="3" t="s">
        <v>109</v>
      </c>
      <c r="E55" s="3" t="s">
        <v>115</v>
      </c>
      <c r="F55" s="2" t="s">
        <v>213</v>
      </c>
      <c r="G55" s="3">
        <v>3</v>
      </c>
      <c r="H55" s="3">
        <v>0</v>
      </c>
      <c r="I55" s="3"/>
      <c r="J55" s="3"/>
    </row>
    <row r="56" spans="1:10" x14ac:dyDescent="0.3">
      <c r="A56" s="2">
        <v>16</v>
      </c>
      <c r="B56" s="2" t="s">
        <v>114</v>
      </c>
      <c r="C56" s="3" t="s">
        <v>116</v>
      </c>
      <c r="D56" s="3" t="s">
        <v>117</v>
      </c>
      <c r="E56" s="3" t="s">
        <v>118</v>
      </c>
      <c r="F56" s="2" t="s">
        <v>213</v>
      </c>
      <c r="G56" s="3">
        <v>1</v>
      </c>
      <c r="H56" s="3">
        <v>0</v>
      </c>
      <c r="I56" s="3"/>
      <c r="J56" s="3"/>
    </row>
    <row r="57" spans="1:10" x14ac:dyDescent="0.3">
      <c r="A57" s="2">
        <v>16</v>
      </c>
      <c r="B57" s="2" t="s">
        <v>114</v>
      </c>
      <c r="C57" s="3" t="s">
        <v>116</v>
      </c>
      <c r="D57" s="3" t="s">
        <v>117</v>
      </c>
      <c r="E57" s="3" t="s">
        <v>119</v>
      </c>
      <c r="F57" s="2" t="s">
        <v>213</v>
      </c>
      <c r="G57" s="3">
        <v>2</v>
      </c>
      <c r="H57" s="3">
        <v>0</v>
      </c>
      <c r="I57" s="3"/>
      <c r="J57" s="3"/>
    </row>
    <row r="58" spans="1:10" x14ac:dyDescent="0.3">
      <c r="A58" s="2">
        <v>17</v>
      </c>
      <c r="B58" s="2" t="s">
        <v>120</v>
      </c>
      <c r="C58" s="3" t="s">
        <v>116</v>
      </c>
      <c r="D58" s="3" t="s">
        <v>117</v>
      </c>
      <c r="E58" s="3" t="s">
        <v>121</v>
      </c>
      <c r="F58" s="2" t="s">
        <v>213</v>
      </c>
      <c r="G58" s="3">
        <v>1</v>
      </c>
      <c r="H58" s="3">
        <v>0</v>
      </c>
      <c r="I58" s="3"/>
      <c r="J58" s="3"/>
    </row>
    <row r="59" spans="1:10" x14ac:dyDescent="0.3">
      <c r="A59" s="2">
        <v>17</v>
      </c>
      <c r="B59" s="2" t="s">
        <v>120</v>
      </c>
      <c r="C59" s="3" t="s">
        <v>122</v>
      </c>
      <c r="D59" s="3" t="s">
        <v>123</v>
      </c>
      <c r="E59" s="3" t="s">
        <v>124</v>
      </c>
      <c r="F59" s="2" t="s">
        <v>16</v>
      </c>
      <c r="G59" s="3">
        <v>1</v>
      </c>
      <c r="H59" s="3">
        <v>0</v>
      </c>
      <c r="I59" s="3"/>
      <c r="J59" s="3"/>
    </row>
    <row r="60" spans="1:10" x14ac:dyDescent="0.3">
      <c r="A60" s="2">
        <v>17</v>
      </c>
      <c r="B60" s="2" t="s">
        <v>120</v>
      </c>
      <c r="C60" s="3" t="s">
        <v>122</v>
      </c>
      <c r="D60" s="3" t="s">
        <v>123</v>
      </c>
      <c r="E60" s="3" t="s">
        <v>125</v>
      </c>
      <c r="F60" s="2" t="s">
        <v>16</v>
      </c>
      <c r="G60" s="3">
        <v>2</v>
      </c>
      <c r="H60" s="3">
        <v>0</v>
      </c>
      <c r="I60" s="3"/>
      <c r="J60" s="3"/>
    </row>
    <row r="61" spans="1:10" x14ac:dyDescent="0.3">
      <c r="A61" s="2">
        <v>17</v>
      </c>
      <c r="B61" s="2" t="s">
        <v>120</v>
      </c>
      <c r="C61" s="3" t="s">
        <v>122</v>
      </c>
      <c r="D61" s="3" t="s">
        <v>123</v>
      </c>
      <c r="E61" s="3" t="s">
        <v>126</v>
      </c>
      <c r="F61" s="2" t="s">
        <v>16</v>
      </c>
      <c r="G61" s="3">
        <v>2</v>
      </c>
      <c r="H61" s="3">
        <v>0</v>
      </c>
      <c r="I61" s="3"/>
      <c r="J61" s="3"/>
    </row>
    <row r="62" spans="1:10" x14ac:dyDescent="0.3">
      <c r="A62" s="2">
        <v>18</v>
      </c>
      <c r="B62" s="2" t="s">
        <v>30</v>
      </c>
      <c r="C62" s="3" t="s">
        <v>122</v>
      </c>
      <c r="D62" s="3" t="s">
        <v>123</v>
      </c>
      <c r="E62" s="3" t="s">
        <v>127</v>
      </c>
      <c r="F62" s="2" t="s">
        <v>16</v>
      </c>
      <c r="G62" s="3">
        <v>0.5</v>
      </c>
      <c r="H62" s="3">
        <v>0</v>
      </c>
      <c r="I62" s="3"/>
      <c r="J62" s="3"/>
    </row>
    <row r="63" spans="1:10" x14ac:dyDescent="0.3">
      <c r="A63" s="2">
        <v>18</v>
      </c>
      <c r="B63" s="2" t="s">
        <v>30</v>
      </c>
      <c r="C63" s="3" t="s">
        <v>122</v>
      </c>
      <c r="D63" s="3" t="s">
        <v>123</v>
      </c>
      <c r="E63" s="3" t="s">
        <v>128</v>
      </c>
      <c r="F63" s="2" t="s">
        <v>16</v>
      </c>
      <c r="G63" s="3">
        <v>0.5</v>
      </c>
      <c r="H63" s="3">
        <v>0</v>
      </c>
      <c r="I63" s="3"/>
      <c r="J63" s="3"/>
    </row>
    <row r="64" spans="1:10" x14ac:dyDescent="0.3">
      <c r="A64" s="2">
        <v>18</v>
      </c>
      <c r="B64" s="2" t="s">
        <v>30</v>
      </c>
      <c r="C64" s="3" t="s">
        <v>122</v>
      </c>
      <c r="D64" s="3" t="s">
        <v>123</v>
      </c>
      <c r="E64" s="3" t="s">
        <v>129</v>
      </c>
      <c r="F64" s="2" t="s">
        <v>16</v>
      </c>
      <c r="G64" s="3">
        <v>1</v>
      </c>
      <c r="H64" s="3">
        <v>0</v>
      </c>
      <c r="I64" s="3"/>
      <c r="J64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activeCell="H18" sqref="H18"/>
    </sheetView>
  </sheetViews>
  <sheetFormatPr defaultRowHeight="16.5" x14ac:dyDescent="0.3"/>
  <cols>
    <col min="1" max="1" width="20" customWidth="1"/>
    <col min="2" max="2" width="25" customWidth="1"/>
    <col min="3" max="3" width="35" customWidth="1"/>
    <col min="4" max="4" width="12" customWidth="1"/>
    <col min="5" max="6" width="10" customWidth="1"/>
    <col min="7" max="7" width="25" customWidth="1"/>
    <col min="8" max="8" width="15" customWidth="1"/>
    <col min="9" max="9" width="30" customWidth="1"/>
  </cols>
  <sheetData>
    <row r="1" spans="1:9" x14ac:dyDescent="0.3">
      <c r="A1" s="1" t="s">
        <v>2</v>
      </c>
      <c r="B1" s="1" t="s">
        <v>3</v>
      </c>
      <c r="C1" s="1" t="s">
        <v>130</v>
      </c>
      <c r="D1" s="1" t="s">
        <v>5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9</v>
      </c>
    </row>
    <row r="2" spans="1:9" x14ac:dyDescent="0.3">
      <c r="A2" s="3" t="s">
        <v>22</v>
      </c>
      <c r="B2" s="3" t="s">
        <v>23</v>
      </c>
      <c r="C2" s="3" t="s">
        <v>135</v>
      </c>
      <c r="D2" s="2" t="s">
        <v>213</v>
      </c>
      <c r="E2" s="2" t="s">
        <v>136</v>
      </c>
      <c r="F2" s="2" t="s">
        <v>137</v>
      </c>
      <c r="G2" s="3" t="s">
        <v>138</v>
      </c>
      <c r="H2" s="3"/>
      <c r="I2" s="3"/>
    </row>
    <row r="3" spans="1:9" x14ac:dyDescent="0.3">
      <c r="A3" s="3" t="s">
        <v>22</v>
      </c>
      <c r="B3" s="3" t="s">
        <v>23</v>
      </c>
      <c r="C3" s="3" t="s">
        <v>139</v>
      </c>
      <c r="D3" s="2" t="s">
        <v>213</v>
      </c>
      <c r="E3" s="2" t="s">
        <v>136</v>
      </c>
      <c r="F3" s="2" t="s">
        <v>137</v>
      </c>
      <c r="G3" s="3" t="s">
        <v>140</v>
      </c>
      <c r="H3" s="3"/>
      <c r="I3" s="3"/>
    </row>
    <row r="4" spans="1:9" x14ac:dyDescent="0.3">
      <c r="A4" s="3" t="s">
        <v>22</v>
      </c>
      <c r="B4" s="3" t="s">
        <v>33</v>
      </c>
      <c r="C4" s="3" t="s">
        <v>141</v>
      </c>
      <c r="D4" s="2" t="s">
        <v>213</v>
      </c>
      <c r="E4" s="2" t="s">
        <v>136</v>
      </c>
      <c r="F4" s="2" t="s">
        <v>137</v>
      </c>
      <c r="G4" s="3" t="s">
        <v>142</v>
      </c>
      <c r="H4" s="3"/>
      <c r="I4" s="3"/>
    </row>
    <row r="5" spans="1:9" x14ac:dyDescent="0.3">
      <c r="A5" s="3" t="s">
        <v>22</v>
      </c>
      <c r="B5" s="3" t="s">
        <v>33</v>
      </c>
      <c r="C5" s="3" t="s">
        <v>143</v>
      </c>
      <c r="D5" s="2" t="s">
        <v>213</v>
      </c>
      <c r="E5" s="2" t="s">
        <v>136</v>
      </c>
      <c r="F5" s="2" t="s">
        <v>137</v>
      </c>
      <c r="G5" s="3" t="s">
        <v>73</v>
      </c>
      <c r="H5" s="3"/>
      <c r="I5" s="3"/>
    </row>
    <row r="6" spans="1:9" x14ac:dyDescent="0.3">
      <c r="A6" s="3" t="s">
        <v>46</v>
      </c>
      <c r="B6" s="3" t="s">
        <v>47</v>
      </c>
      <c r="C6" s="3" t="s">
        <v>144</v>
      </c>
      <c r="D6" s="2" t="s">
        <v>213</v>
      </c>
      <c r="E6" s="2" t="s">
        <v>136</v>
      </c>
      <c r="F6" s="2" t="s">
        <v>137</v>
      </c>
      <c r="G6" s="3" t="s">
        <v>138</v>
      </c>
      <c r="H6" s="3"/>
      <c r="I6" s="3"/>
    </row>
    <row r="7" spans="1:9" x14ac:dyDescent="0.3">
      <c r="A7" s="3" t="s">
        <v>46</v>
      </c>
      <c r="B7" s="3" t="s">
        <v>145</v>
      </c>
      <c r="C7" s="3" t="s">
        <v>146</v>
      </c>
      <c r="D7" s="2" t="s">
        <v>213</v>
      </c>
      <c r="E7" s="2" t="s">
        <v>136</v>
      </c>
      <c r="F7" s="2" t="s">
        <v>147</v>
      </c>
      <c r="G7" s="3" t="s">
        <v>47</v>
      </c>
      <c r="H7" s="3"/>
      <c r="I7" s="3"/>
    </row>
    <row r="8" spans="1:9" x14ac:dyDescent="0.3">
      <c r="A8" s="3" t="s">
        <v>53</v>
      </c>
      <c r="B8" s="3" t="s">
        <v>148</v>
      </c>
      <c r="C8" s="3" t="s">
        <v>149</v>
      </c>
      <c r="D8" s="2" t="s">
        <v>213</v>
      </c>
      <c r="E8" s="2" t="s">
        <v>136</v>
      </c>
      <c r="F8" s="2" t="s">
        <v>137</v>
      </c>
      <c r="G8" s="3" t="s">
        <v>46</v>
      </c>
      <c r="H8" s="3"/>
      <c r="I8" s="3" t="s">
        <v>150</v>
      </c>
    </row>
    <row r="9" spans="1:9" x14ac:dyDescent="0.3">
      <c r="A9" s="3" t="s">
        <v>53</v>
      </c>
      <c r="B9" s="3" t="s">
        <v>151</v>
      </c>
      <c r="C9" s="3" t="s">
        <v>152</v>
      </c>
      <c r="D9" s="2" t="s">
        <v>213</v>
      </c>
      <c r="E9" s="2" t="s">
        <v>136</v>
      </c>
      <c r="F9" s="2" t="s">
        <v>137</v>
      </c>
      <c r="G9" s="3" t="s">
        <v>46</v>
      </c>
      <c r="H9" s="3"/>
      <c r="I9" s="3" t="s">
        <v>153</v>
      </c>
    </row>
    <row r="10" spans="1:9" x14ac:dyDescent="0.3">
      <c r="A10" s="3" t="s">
        <v>53</v>
      </c>
      <c r="B10" s="3" t="s">
        <v>154</v>
      </c>
      <c r="C10" s="3" t="s">
        <v>155</v>
      </c>
      <c r="D10" s="2" t="s">
        <v>213</v>
      </c>
      <c r="E10" s="2" t="s">
        <v>136</v>
      </c>
      <c r="F10" s="2" t="s">
        <v>137</v>
      </c>
      <c r="G10" s="3" t="s">
        <v>46</v>
      </c>
      <c r="H10" s="3"/>
      <c r="I10" s="3" t="s">
        <v>156</v>
      </c>
    </row>
    <row r="11" spans="1:9" x14ac:dyDescent="0.3">
      <c r="A11" s="3" t="s">
        <v>53</v>
      </c>
      <c r="B11" s="3" t="s">
        <v>60</v>
      </c>
      <c r="C11" s="3" t="s">
        <v>157</v>
      </c>
      <c r="D11" s="2" t="s">
        <v>213</v>
      </c>
      <c r="E11" s="2" t="s">
        <v>136</v>
      </c>
      <c r="F11" s="2" t="s">
        <v>137</v>
      </c>
      <c r="G11" s="3" t="s">
        <v>158</v>
      </c>
      <c r="H11" s="3"/>
      <c r="I11" s="3"/>
    </row>
    <row r="12" spans="1:9" x14ac:dyDescent="0.3">
      <c r="A12" s="3" t="s">
        <v>73</v>
      </c>
      <c r="B12" s="3" t="s">
        <v>74</v>
      </c>
      <c r="C12" s="3" t="s">
        <v>159</v>
      </c>
      <c r="D12" s="2" t="s">
        <v>213</v>
      </c>
      <c r="E12" s="2" t="s">
        <v>136</v>
      </c>
      <c r="F12" s="2" t="s">
        <v>137</v>
      </c>
      <c r="G12" s="3" t="s">
        <v>160</v>
      </c>
      <c r="H12" s="3"/>
      <c r="I12" s="3" t="s">
        <v>161</v>
      </c>
    </row>
    <row r="13" spans="1:9" x14ac:dyDescent="0.3">
      <c r="A13" s="3" t="s">
        <v>73</v>
      </c>
      <c r="B13" s="3" t="s">
        <v>162</v>
      </c>
      <c r="C13" s="3" t="s">
        <v>163</v>
      </c>
      <c r="D13" s="2" t="s">
        <v>213</v>
      </c>
      <c r="E13" s="2" t="s">
        <v>136</v>
      </c>
      <c r="F13" s="2" t="s">
        <v>137</v>
      </c>
      <c r="G13" s="3" t="s">
        <v>74</v>
      </c>
      <c r="H13" s="3"/>
      <c r="I13" s="3"/>
    </row>
    <row r="14" spans="1:9" x14ac:dyDescent="0.3">
      <c r="A14" s="3" t="s">
        <v>164</v>
      </c>
      <c r="B14" s="3" t="s">
        <v>156</v>
      </c>
      <c r="C14" s="3" t="s">
        <v>165</v>
      </c>
      <c r="D14" s="2" t="s">
        <v>213</v>
      </c>
      <c r="E14" s="2" t="s">
        <v>136</v>
      </c>
      <c r="F14" s="2" t="s">
        <v>137</v>
      </c>
      <c r="G14" s="3" t="s">
        <v>81</v>
      </c>
      <c r="H14" s="3"/>
      <c r="I14" s="3"/>
    </row>
    <row r="15" spans="1:9" x14ac:dyDescent="0.3">
      <c r="A15" s="3" t="s">
        <v>164</v>
      </c>
      <c r="B15" s="3" t="s">
        <v>166</v>
      </c>
      <c r="C15" s="3" t="s">
        <v>167</v>
      </c>
      <c r="D15" s="2" t="s">
        <v>213</v>
      </c>
      <c r="E15" s="2" t="s">
        <v>136</v>
      </c>
      <c r="F15" s="2" t="s">
        <v>137</v>
      </c>
      <c r="G15" s="3" t="s">
        <v>46</v>
      </c>
      <c r="H15" s="3"/>
      <c r="I15" s="3"/>
    </row>
    <row r="16" spans="1:9" x14ac:dyDescent="0.3">
      <c r="A16" s="3" t="s">
        <v>164</v>
      </c>
      <c r="B16" s="3" t="s">
        <v>168</v>
      </c>
      <c r="C16" s="3" t="s">
        <v>169</v>
      </c>
      <c r="D16" s="2" t="s">
        <v>213</v>
      </c>
      <c r="E16" s="2" t="s">
        <v>136</v>
      </c>
      <c r="F16" s="2" t="s">
        <v>147</v>
      </c>
      <c r="G16" s="3" t="s">
        <v>170</v>
      </c>
      <c r="H16" s="3"/>
      <c r="I16" s="3"/>
    </row>
    <row r="17" spans="1:9" x14ac:dyDescent="0.3">
      <c r="A17" s="3" t="s">
        <v>171</v>
      </c>
      <c r="B17" s="3" t="s">
        <v>172</v>
      </c>
      <c r="C17" s="3" t="s">
        <v>173</v>
      </c>
      <c r="D17" s="2" t="s">
        <v>213</v>
      </c>
      <c r="E17" s="2" t="s">
        <v>136</v>
      </c>
      <c r="F17" s="2" t="s">
        <v>147</v>
      </c>
      <c r="G17" s="3" t="s">
        <v>53</v>
      </c>
      <c r="H17" s="3"/>
      <c r="I17" s="3"/>
    </row>
    <row r="18" spans="1:9" x14ac:dyDescent="0.3">
      <c r="A18" s="3" t="s">
        <v>171</v>
      </c>
      <c r="B18" s="3" t="s">
        <v>174</v>
      </c>
      <c r="C18" s="3" t="s">
        <v>175</v>
      </c>
      <c r="D18" s="2" t="s">
        <v>213</v>
      </c>
      <c r="E18" s="2" t="s">
        <v>136</v>
      </c>
      <c r="F18" s="2" t="s">
        <v>176</v>
      </c>
      <c r="G18" s="3" t="s">
        <v>74</v>
      </c>
      <c r="H18" s="3"/>
      <c r="I18" s="3"/>
    </row>
    <row r="19" spans="1:9" x14ac:dyDescent="0.3">
      <c r="A19" s="3" t="s">
        <v>171</v>
      </c>
      <c r="B19" s="3" t="s">
        <v>177</v>
      </c>
      <c r="C19" s="3" t="s">
        <v>178</v>
      </c>
      <c r="D19" s="2" t="s">
        <v>213</v>
      </c>
      <c r="E19" s="2" t="s">
        <v>136</v>
      </c>
      <c r="F19" s="2" t="s">
        <v>147</v>
      </c>
      <c r="G19" s="3" t="s">
        <v>179</v>
      </c>
      <c r="H19" s="3"/>
      <c r="I19" s="3"/>
    </row>
    <row r="20" spans="1:9" x14ac:dyDescent="0.3">
      <c r="A20" s="3" t="s">
        <v>100</v>
      </c>
      <c r="B20" s="3" t="s">
        <v>101</v>
      </c>
      <c r="C20" s="3" t="s">
        <v>180</v>
      </c>
      <c r="D20" s="2" t="s">
        <v>213</v>
      </c>
      <c r="E20" s="2" t="s">
        <v>136</v>
      </c>
      <c r="F20" s="2" t="s">
        <v>137</v>
      </c>
      <c r="G20" s="3" t="s">
        <v>46</v>
      </c>
      <c r="H20" s="3"/>
      <c r="I20" s="3"/>
    </row>
    <row r="21" spans="1:9" x14ac:dyDescent="0.3">
      <c r="A21" s="3" t="s">
        <v>100</v>
      </c>
      <c r="B21" s="3" t="s">
        <v>101</v>
      </c>
      <c r="C21" s="3" t="s">
        <v>181</v>
      </c>
      <c r="D21" s="2" t="s">
        <v>213</v>
      </c>
      <c r="E21" s="2" t="s">
        <v>136</v>
      </c>
      <c r="F21" s="2" t="s">
        <v>137</v>
      </c>
      <c r="G21" s="3" t="s">
        <v>53</v>
      </c>
      <c r="H21" s="3"/>
      <c r="I21" s="3"/>
    </row>
    <row r="22" spans="1:9" x14ac:dyDescent="0.3">
      <c r="A22" s="3" t="s">
        <v>100</v>
      </c>
      <c r="B22" s="3" t="s">
        <v>182</v>
      </c>
      <c r="C22" s="3" t="s">
        <v>183</v>
      </c>
      <c r="D22" s="2" t="s">
        <v>16</v>
      </c>
      <c r="E22" s="2" t="s">
        <v>136</v>
      </c>
      <c r="F22" s="2" t="s">
        <v>137</v>
      </c>
      <c r="G22" s="3" t="s">
        <v>179</v>
      </c>
      <c r="H22" s="3"/>
      <c r="I22" s="3"/>
    </row>
    <row r="23" spans="1:9" x14ac:dyDescent="0.3">
      <c r="A23" s="3" t="s">
        <v>184</v>
      </c>
      <c r="B23" s="3" t="s">
        <v>185</v>
      </c>
      <c r="C23" s="3" t="s">
        <v>186</v>
      </c>
      <c r="D23" s="2" t="s">
        <v>16</v>
      </c>
      <c r="E23" s="2" t="s">
        <v>136</v>
      </c>
      <c r="F23" s="2" t="s">
        <v>137</v>
      </c>
      <c r="G23" s="3" t="s">
        <v>179</v>
      </c>
      <c r="H23" s="3"/>
      <c r="I23" s="3"/>
    </row>
    <row r="24" spans="1:9" x14ac:dyDescent="0.3">
      <c r="A24" s="3" t="s">
        <v>184</v>
      </c>
      <c r="B24" s="3" t="s">
        <v>187</v>
      </c>
      <c r="C24" s="3" t="s">
        <v>188</v>
      </c>
      <c r="D24" s="2" t="s">
        <v>16</v>
      </c>
      <c r="E24" s="2" t="s">
        <v>136</v>
      </c>
      <c r="F24" s="2" t="s">
        <v>137</v>
      </c>
      <c r="G24" s="3" t="s">
        <v>189</v>
      </c>
      <c r="H24" s="3"/>
      <c r="I24" s="3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G12" sqref="G12"/>
    </sheetView>
  </sheetViews>
  <sheetFormatPr defaultRowHeight="16.5" x14ac:dyDescent="0.3"/>
  <cols>
    <col min="1" max="1" width="10" customWidth="1"/>
    <col min="2" max="2" width="12" customWidth="1"/>
    <col min="3" max="3" width="25" customWidth="1"/>
    <col min="4" max="4" width="50" customWidth="1"/>
    <col min="5" max="6" width="12" customWidth="1"/>
    <col min="7" max="7" width="30" customWidth="1"/>
  </cols>
  <sheetData>
    <row r="1" spans="1:7" x14ac:dyDescent="0.3">
      <c r="A1" s="1" t="s">
        <v>190</v>
      </c>
      <c r="B1" s="1" t="s">
        <v>191</v>
      </c>
      <c r="C1" s="1" t="s">
        <v>192</v>
      </c>
      <c r="D1" s="1" t="s">
        <v>193</v>
      </c>
      <c r="E1" s="1" t="s">
        <v>5</v>
      </c>
      <c r="F1" s="1" t="s">
        <v>194</v>
      </c>
      <c r="G1" s="1" t="s">
        <v>195</v>
      </c>
    </row>
    <row r="2" spans="1:7" ht="60" customHeight="1" x14ac:dyDescent="0.3">
      <c r="A2" s="2" t="s">
        <v>196</v>
      </c>
      <c r="B2" s="2" t="s">
        <v>197</v>
      </c>
      <c r="C2" s="3" t="s">
        <v>198</v>
      </c>
      <c r="D2" s="7" t="s">
        <v>199</v>
      </c>
      <c r="E2" s="2" t="s">
        <v>16</v>
      </c>
      <c r="F2" s="2" t="s">
        <v>136</v>
      </c>
      <c r="G2" s="3"/>
    </row>
    <row r="3" spans="1:7" ht="60" customHeight="1" x14ac:dyDescent="0.3">
      <c r="A3" s="2" t="s">
        <v>200</v>
      </c>
      <c r="B3" s="2" t="s">
        <v>201</v>
      </c>
      <c r="C3" s="3" t="s">
        <v>202</v>
      </c>
      <c r="D3" s="7" t="s">
        <v>203</v>
      </c>
      <c r="E3" s="2" t="s">
        <v>16</v>
      </c>
      <c r="F3" s="2" t="s">
        <v>136</v>
      </c>
      <c r="G3" s="3" t="s">
        <v>204</v>
      </c>
    </row>
    <row r="4" spans="1:7" ht="60" customHeight="1" x14ac:dyDescent="0.3">
      <c r="A4" s="2" t="s">
        <v>205</v>
      </c>
      <c r="B4" s="2" t="s">
        <v>206</v>
      </c>
      <c r="C4" s="3" t="s">
        <v>164</v>
      </c>
      <c r="D4" s="7" t="s">
        <v>207</v>
      </c>
      <c r="E4" s="2" t="s">
        <v>16</v>
      </c>
      <c r="F4" s="2" t="s">
        <v>136</v>
      </c>
      <c r="G4" s="3" t="s">
        <v>208</v>
      </c>
    </row>
    <row r="5" spans="1:7" ht="60" customHeight="1" x14ac:dyDescent="0.3">
      <c r="A5" s="2" t="s">
        <v>209</v>
      </c>
      <c r="B5" s="2" t="s">
        <v>210</v>
      </c>
      <c r="C5" s="3" t="s">
        <v>184</v>
      </c>
      <c r="D5" s="7" t="s">
        <v>211</v>
      </c>
      <c r="E5" s="2" t="s">
        <v>16</v>
      </c>
      <c r="F5" s="2" t="s">
        <v>136</v>
      </c>
      <c r="G5" s="3" t="s">
        <v>212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Daily Tasks</vt:lpstr>
      <vt:lpstr>Feature Tracker</vt:lpstr>
      <vt:lpstr>Weekly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박태영</cp:lastModifiedBy>
  <dcterms:created xsi:type="dcterms:W3CDTF">2026-01-21T11:26:01Z</dcterms:created>
  <dcterms:modified xsi:type="dcterms:W3CDTF">2026-02-04T06:50:57Z</dcterms:modified>
</cp:coreProperties>
</file>